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 activeTab="1"/>
  </bookViews>
  <sheets>
    <sheet name="Cost Model" sheetId="1" r:id="rId1"/>
    <sheet name="Hardware BOM" sheetId="2" r:id="rId2"/>
    <sheet name="Software BOM" sheetId="3" r:id="rId3"/>
    <sheet name="Materials and Cost Driv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<sst xmlns="http://schemas.openxmlformats.org/spreadsheetml/2006/main" count="456" uniqueCount="338">
  <si>
    <t>Framework's Cost Model</t>
  </si>
  <si>
    <t>Description</t>
  </si>
  <si>
    <t>Source</t>
  </si>
  <si>
    <t>Example</t>
  </si>
  <si>
    <t>Manufacturing Cost</t>
  </si>
  <si>
    <t>Material BOM</t>
  </si>
  <si>
    <t>Quoted cost of parts, modules, and packaging</t>
  </si>
  <si>
    <t>Costed BOM</t>
  </si>
  <si>
    <t>FATP MVA</t>
  </si>
  <si>
    <t>Assembly, test, and packout labor plus manufacturer overhead</t>
  </si>
  <si>
    <t>Yield</t>
  </si>
  <si>
    <t>% FATP yield without reworks</t>
  </si>
  <si>
    <t>Quality team</t>
  </si>
  <si>
    <t>Rework cost</t>
  </si>
  <si>
    <t>Average MVA and BOM cost to rework</t>
  </si>
  <si>
    <t>Final yield</t>
  </si>
  <si>
    <t>% Final yield after reworks</t>
  </si>
  <si>
    <t>COGS at FOB</t>
  </si>
  <si>
    <t>Cost paid to manufacturer(s) on receipt of goods at port</t>
  </si>
  <si>
    <t>Calculated</t>
  </si>
  <si>
    <t>Financing Costs</t>
  </si>
  <si>
    <t>Supplier payment terms</t>
  </si>
  <si>
    <t>Days from receipt of goods to payment due to the manufacturer</t>
  </si>
  <si>
    <t>Sourcing team</t>
  </si>
  <si>
    <t>Days until sale</t>
  </si>
  <si>
    <t>Average days from receipt of goods to sale to the consumer</t>
  </si>
  <si>
    <t>Logistics+Marketing teams</t>
  </si>
  <si>
    <t>Time value of money</t>
  </si>
  <si>
    <t>Cost of money of holding inventory</t>
  </si>
  <si>
    <t>Finance team</t>
  </si>
  <si>
    <t>-</t>
  </si>
  <si>
    <t>Financing rate</t>
  </si>
  <si>
    <t>Loan APY</t>
  </si>
  <si>
    <t>Per Unit Financing Cost</t>
  </si>
  <si>
    <t>Unit cost of loans (assuming simple interest)</t>
  </si>
  <si>
    <t>COGS with Financing</t>
  </si>
  <si>
    <t>Fulfillment Cost</t>
  </si>
  <si>
    <t>Units per Master Carton</t>
  </si>
  <si>
    <t>Number of units that can fit in a human-manageable box</t>
  </si>
  <si>
    <t>Logistics team</t>
  </si>
  <si>
    <t>Master Carton cost</t>
  </si>
  <si>
    <t>Cost of the packaging of that box</t>
  </si>
  <si>
    <t>Master Cartons per pallet</t>
  </si>
  <si>
    <t>Number of cartons that fit on a pallet</t>
  </si>
  <si>
    <t>Units per pallet</t>
  </si>
  <si>
    <t>Calculated units per pallet</t>
  </si>
  <si>
    <t>Pallet air freight cost</t>
  </si>
  <si>
    <t>Cost of shipping a pallet by air</t>
  </si>
  <si>
    <t>Freightos</t>
  </si>
  <si>
    <t>Pallet air freight carbon offset</t>
  </si>
  <si>
    <t>Cost per pallet of buying carbon offsets for the air cargo</t>
  </si>
  <si>
    <t>Carbonfund</t>
  </si>
  <si>
    <t>Pallet sea freight cost</t>
  </si>
  <si>
    <t>Cost of shipping a pallet by sea</t>
  </si>
  <si>
    <t>Pallet sea freight carbon offset</t>
  </si>
  <si>
    <t>Cost per pallet of buying carbon offsets for the sea cargo</t>
  </si>
  <si>
    <t>Per unit air freight</t>
  </si>
  <si>
    <t>Per unit cost of air freight</t>
  </si>
  <si>
    <t>Per unit sea freight</t>
  </si>
  <si>
    <t>Per unit cost of sea freight</t>
  </si>
  <si>
    <t>% Air freight</t>
  </si>
  <si>
    <t>Percent of total sales that will be shipped by air (typically at start of program)</t>
  </si>
  <si>
    <t>Pallet freight to warehouse cost</t>
  </si>
  <si>
    <t>Cost to transport pallet from port to 3PL warehouse</t>
  </si>
  <si>
    <t>Calculated Freight in</t>
  </si>
  <si>
    <t>Per unit cost of transport from manufacturer FOB to 3PL warehouse</t>
  </si>
  <si>
    <t>Warehousing</t>
  </si>
  <si>
    <t>Cost of holding inventory at 3PL</t>
  </si>
  <si>
    <t>3PL</t>
  </si>
  <si>
    <t>Shipping packaging</t>
  </si>
  <si>
    <t>BOM cost of the shipping packaging</t>
  </si>
  <si>
    <t>Fulfillment</t>
  </si>
  <si>
    <t>Service cost to pick, scan, and pack product at 3PL</t>
  </si>
  <si>
    <t>Freight out</t>
  </si>
  <si>
    <t>Cost of shipping to consumer</t>
  </si>
  <si>
    <t>Shipwire</t>
  </si>
  <si>
    <t>Freight out carbon offset</t>
  </si>
  <si>
    <t>Cost per unit of buying carbon offsets for shipping to the customer</t>
  </si>
  <si>
    <t>Payment processing fee</t>
  </si>
  <si>
    <t>% Fees for credit card processing</t>
  </si>
  <si>
    <t>Stripe</t>
  </si>
  <si>
    <t>Duties</t>
  </si>
  <si>
    <t>Duties to bring product into country of warehousing</t>
  </si>
  <si>
    <t>Per Unit Logistics cost</t>
  </si>
  <si>
    <t>Total freight and handling cost</t>
  </si>
  <si>
    <t>Per Unit Payment processing cost</t>
  </si>
  <si>
    <t>Cost of payment processing</t>
  </si>
  <si>
    <t>Per Unit Duties</t>
  </si>
  <si>
    <t>Cost of customs and duties</t>
  </si>
  <si>
    <t>COGS Fulfilled</t>
  </si>
  <si>
    <t>Cost of getting a unit to the customer</t>
  </si>
  <si>
    <t>Support Cost</t>
  </si>
  <si>
    <t>Non-warranty returns</t>
  </si>
  <si>
    <t>% Remorse return rate (refunded)</t>
  </si>
  <si>
    <t>Marketing team</t>
  </si>
  <si>
    <t>Reverse logistics cost</t>
  </si>
  <si>
    <t>Cost to receive product back from the consumer to the 3PL</t>
  </si>
  <si>
    <t>Recovery cost</t>
  </si>
  <si>
    <t>Average cost to recover a returned unit for resale</t>
  </si>
  <si>
    <t>Recovery price</t>
  </si>
  <si>
    <t>% of original price for refurbished product</t>
  </si>
  <si>
    <t>Warranty returns</t>
  </si>
  <si>
    <t>% Warranty rate</t>
  </si>
  <si>
    <t>Warranty repair cost</t>
  </si>
  <si>
    <t>Average cost to fix a unit under warranty</t>
  </si>
  <si>
    <t>Manufacturer warranty guarantee</t>
  </si>
  <si>
    <t>% of field failures covered by manufacturer guarantee</t>
  </si>
  <si>
    <t>Support cost</t>
  </si>
  <si>
    <t>Cost of customer support staffing to handle returns, replacement, and general support</t>
  </si>
  <si>
    <t>Support team</t>
  </si>
  <si>
    <t>Total Support Cost</t>
  </si>
  <si>
    <t>Cost of covering bad things happening</t>
  </si>
  <si>
    <t>Per Unit Support Cost</t>
  </si>
  <si>
    <t>Per unit</t>
  </si>
  <si>
    <t>COGS with Support</t>
  </si>
  <si>
    <t>Fixed Costs</t>
  </si>
  <si>
    <t>Product NRE</t>
  </si>
  <si>
    <t>Development cost paid to FATP manufacturer</t>
  </si>
  <si>
    <t>Module NRE</t>
  </si>
  <si>
    <t>Development cost paid to module manufacturers</t>
  </si>
  <si>
    <t>Product Tooling</t>
  </si>
  <si>
    <t>Cost of plastics, metals, and line tooling for final product</t>
  </si>
  <si>
    <t>Module Tooling</t>
  </si>
  <si>
    <t>Cost of plastics, metals, and line tooling for modules</t>
  </si>
  <si>
    <t>Certifications</t>
  </si>
  <si>
    <t>Cost of certifying product and modules to ship into countries</t>
  </si>
  <si>
    <t>Excess and Obsolescence</t>
  </si>
  <si>
    <t>% of total BOM projected to be wasted due to part changes or excess material at end of life</t>
  </si>
  <si>
    <t>Total Fixed Cost</t>
  </si>
  <si>
    <t>Total program development fixed costs</t>
  </si>
  <si>
    <t>Per Unit Amortized Cost</t>
  </si>
  <si>
    <t>Unit cost after baking in program-wide manufacturing costs</t>
  </si>
  <si>
    <t>COGS with Manufacturing Amortized</t>
  </si>
  <si>
    <t>Internal R&amp;D and SG&amp;A Costs</t>
  </si>
  <si>
    <t>Development OpEx</t>
  </si>
  <si>
    <t>Internal prototyping costs</t>
  </si>
  <si>
    <t>Engineering team</t>
  </si>
  <si>
    <t>Internal Labor Cost</t>
  </si>
  <si>
    <t>Total cost of internal full time and contractor staffing on the program</t>
  </si>
  <si>
    <t>Promotion Costs</t>
  </si>
  <si>
    <t>% of revenue spent discounting units for promotional pricing</t>
  </si>
  <si>
    <t>Direct Customer Acquisition Cost</t>
  </si>
  <si>
    <t>Average cost to source and complete a sale, including targeted advertising or affiliate marketing</t>
  </si>
  <si>
    <t>Indirect Marketing Cost</t>
  </si>
  <si>
    <t>Total cost of marketing promotions not associated with a specific unit sale</t>
  </si>
  <si>
    <t>Internal fixed cost of staffing the program and selling the product</t>
  </si>
  <si>
    <t>Total Variable Cost</t>
  </si>
  <si>
    <t>Average Per-unit variable selling costs</t>
  </si>
  <si>
    <t>Per Unit Internal Amortized Cost</t>
  </si>
  <si>
    <t>Amortized over unit volume</t>
  </si>
  <si>
    <t>COGS with R&amp;D and SG&amp;A Amortized</t>
  </si>
  <si>
    <t>Program Inputs</t>
  </si>
  <si>
    <t>Product Price</t>
  </si>
  <si>
    <t>Price of product sold to consumer</t>
  </si>
  <si>
    <t>Shipping Price</t>
  </si>
  <si>
    <t>Price charged to consumer for shipping</t>
  </si>
  <si>
    <t>Total Price</t>
  </si>
  <si>
    <t>Sales Volume</t>
  </si>
  <si>
    <t>Program Outputs</t>
  </si>
  <si>
    <t>Full Per Unit Cost</t>
  </si>
  <si>
    <t>Payment to manufacturer, fulfillment cost, and financing cost</t>
  </si>
  <si>
    <t>Full Per Unit Cost including Amortization</t>
  </si>
  <si>
    <t>Including amortization</t>
  </si>
  <si>
    <t>Sales Revenue</t>
  </si>
  <si>
    <t>Sales minus returns</t>
  </si>
  <si>
    <t>Refurb Volume</t>
  </si>
  <si>
    <t>Units resold as refurbished</t>
  </si>
  <si>
    <t>Refurb Revenue</t>
  </si>
  <si>
    <t>Revenue from refurbished units</t>
  </si>
  <si>
    <t>Total Revenue</t>
  </si>
  <si>
    <t>Revenue from new and refurbished units</t>
  </si>
  <si>
    <t>Total Cost</t>
  </si>
  <si>
    <t>Per unit and program level costs</t>
  </si>
  <si>
    <t>Gross Profit</t>
  </si>
  <si>
    <t>Profit Margin</t>
  </si>
  <si>
    <t>Unit Summary</t>
  </si>
  <si>
    <t>BOM</t>
  </si>
  <si>
    <t>MVA</t>
  </si>
  <si>
    <t>Financing</t>
  </si>
  <si>
    <t>Payment</t>
  </si>
  <si>
    <t>Logistics</t>
  </si>
  <si>
    <t>Support</t>
  </si>
  <si>
    <t>Fixed Cost</t>
  </si>
  <si>
    <t>Internal Cost</t>
  </si>
  <si>
    <t>Profit</t>
  </si>
  <si>
    <t>Key</t>
  </si>
  <si>
    <t>Blue text is calculated outputs</t>
  </si>
  <si>
    <t xml:space="preserve">References </t>
  </si>
  <si>
    <t>https://community.frame.work/t/calculating-the-full-cost-of-a-hardware-product/163</t>
  </si>
  <si>
    <t>https://medium.com/@BenEinstein/will-your-hardware-startup-make-money-677a8e6c665b</t>
  </si>
  <si>
    <t>https://gsuite.google.com/marketplace/app/dragon_standard_bom/499121254478?pann=cwsdp&amp;hl=en</t>
  </si>
  <si>
    <t>https://www.onpallet.com/</t>
  </si>
  <si>
    <t>https://www.freightos.com/</t>
  </si>
  <si>
    <t>https://carbonfund.org/take-action/businesses/business-calculators</t>
  </si>
  <si>
    <t>https://stripe.com/pricing</t>
  </si>
  <si>
    <t>Venture Number</t>
  </si>
  <si>
    <t>Note: This covers physical product costs, but not the costs of software, certification, and more.</t>
  </si>
  <si>
    <t>Cost
QTY 1</t>
  </si>
  <si>
    <t>Cost
QTY 1K</t>
  </si>
  <si>
    <t>Component QTY
Per Product</t>
  </si>
  <si>
    <t>Product Cost
QTY 1</t>
  </si>
  <si>
    <t>Product Cost
QTY 1K</t>
  </si>
  <si>
    <t>Venture Name</t>
  </si>
  <si>
    <t>Grand totals</t>
  </si>
  <si>
    <t>Team Member # 1</t>
  </si>
  <si>
    <t>Team Member # 2</t>
  </si>
  <si>
    <t>Team Member # 3</t>
  </si>
  <si>
    <t>Team Member # 4</t>
  </si>
  <si>
    <t>Electrical Components</t>
  </si>
  <si>
    <r>
      <rPr>
        <sz val="11"/>
        <color theme="1"/>
        <rFont val="Calibri"/>
        <charset val="134"/>
      </rPr>
      <t xml:space="preserve">Note: </t>
    </r>
    <r>
      <rPr>
        <u/>
        <sz val="11"/>
        <color rgb="FF1155CC"/>
        <rFont val="Calibri"/>
        <charset val="134"/>
      </rPr>
      <t>PCB assembly costing from FlexPCB</t>
    </r>
    <r>
      <rPr>
        <sz val="11"/>
        <color theme="1"/>
        <rFont val="Calibri"/>
        <charset val="134"/>
      </rPr>
      <t xml:space="preserve">. Or, approximate with a vendor like </t>
    </r>
    <r>
      <rPr>
        <u/>
        <sz val="11"/>
        <color rgb="FF1155CC"/>
        <rFont val="Calibri"/>
        <charset val="134"/>
      </rPr>
      <t>JLCPCB</t>
    </r>
    <r>
      <rPr>
        <sz val="11"/>
        <color theme="1"/>
        <rFont val="Calibri"/>
        <charset val="134"/>
      </rPr>
      <t>.</t>
    </r>
  </si>
  <si>
    <t>Component Name</t>
  </si>
  <si>
    <t>Manufacturer</t>
  </si>
  <si>
    <t>Manufacturer part number (MPN)</t>
  </si>
  <si>
    <t>Distributor</t>
  </si>
  <si>
    <t>Distributor Part Number</t>
  </si>
  <si>
    <t>Comments</t>
  </si>
  <si>
    <t>Voltage (Min)</t>
  </si>
  <si>
    <t>Voltage (Max)</t>
  </si>
  <si>
    <t>Current Consumption,
typical case (mA)</t>
  </si>
  <si>
    <t>Current Consumption, worst case (mA)</t>
  </si>
  <si>
    <t>EE-001</t>
  </si>
  <si>
    <t>BLE MCU</t>
  </si>
  <si>
    <t>Nordic</t>
  </si>
  <si>
    <t>nRF5340</t>
  </si>
  <si>
    <t>Digikey</t>
  </si>
  <si>
    <t>4823-NRF5340-CLAA-RTR-ND</t>
  </si>
  <si>
    <t>2.7V</t>
  </si>
  <si>
    <t>4.3V</t>
  </si>
  <si>
    <t>EE-002</t>
  </si>
  <si>
    <t>IMU</t>
  </si>
  <si>
    <t>Adafruit</t>
  </si>
  <si>
    <t>MOUSER</t>
  </si>
  <si>
    <t>485-2472</t>
  </si>
  <si>
    <t>2.4V</t>
  </si>
  <si>
    <t>3.6V</t>
  </si>
  <si>
    <t>EE-003</t>
  </si>
  <si>
    <t>pressure sensor</t>
  </si>
  <si>
    <t>SEN0293</t>
  </si>
  <si>
    <t>1738-SEN0293-ND</t>
  </si>
  <si>
    <t>EE-004</t>
  </si>
  <si>
    <t>humidity and temperature sensor</t>
  </si>
  <si>
    <t>BME280</t>
  </si>
  <si>
    <t>828-1063-2-ND</t>
  </si>
  <si>
    <t>1.71V</t>
  </si>
  <si>
    <t>EE-005</t>
  </si>
  <si>
    <t>Li-Po Battery</t>
  </si>
  <si>
    <t>LJ503035</t>
  </si>
  <si>
    <t>5942-LJ503035-ND</t>
  </si>
  <si>
    <t>2.8V</t>
  </si>
  <si>
    <t>4.2V</t>
  </si>
  <si>
    <t>Mechanical Components
[Catalog]</t>
  </si>
  <si>
    <r>
      <rPr>
        <u/>
        <sz val="11"/>
        <color rgb="FF1155CC"/>
        <rFont val="Calibri"/>
        <charset val="134"/>
      </rPr>
      <t>McMaster-Carr</t>
    </r>
    <r>
      <rPr>
        <sz val="11"/>
        <color rgb="FF000000"/>
        <rFont val="Calibri"/>
        <charset val="134"/>
      </rPr>
      <t xml:space="preserve"> can give you catalog component pricing, though it will be high compared to high volume pricing.</t>
    </r>
  </si>
  <si>
    <t xml:space="preserve">Component </t>
  </si>
  <si>
    <t>ME-OTS-001</t>
  </si>
  <si>
    <t>Black-Oxide Alloy Steel Socket Head Screw 0-80 Thread Size, 1/16" Long</t>
  </si>
  <si>
    <t>McMaster-Carr</t>
  </si>
  <si>
    <t>91251A051</t>
  </si>
  <si>
    <t>Board to board cable</t>
  </si>
  <si>
    <t>Mechanical Components
[Custom]</t>
  </si>
  <si>
    <r>
      <rPr>
        <sz val="11"/>
        <color rgb="FF000000"/>
        <rFont val="Calibri"/>
        <charset val="134"/>
      </rPr>
      <t xml:space="preserve">Here's a good overview of Injection Molding cost estimates: </t>
    </r>
    <r>
      <rPr>
        <u/>
        <sz val="11"/>
        <color rgb="FF1155CC"/>
        <rFont val="Calibri"/>
        <charset val="134"/>
      </rPr>
      <t>How to Estimate Injection Molding Cost? | Formlabs</t>
    </r>
    <r>
      <rPr>
        <sz val="11"/>
        <color rgb="FF000000"/>
        <rFont val="Calibri"/>
        <charset val="134"/>
      </rPr>
      <t xml:space="preserve"> 
The </t>
    </r>
    <r>
      <rPr>
        <u/>
        <sz val="11"/>
        <color rgb="FF1155CC"/>
        <rFont val="Calibri"/>
        <charset val="134"/>
      </rPr>
      <t>Materials and Cost Drivers</t>
    </r>
    <r>
      <rPr>
        <sz val="11"/>
        <color rgb="FF000000"/>
        <rFont val="Calibri"/>
        <charset val="134"/>
      </rPr>
      <t xml:space="preserve"> tab has details on cost of materials &amp; labor that are helpful for this section.
Custom part cost includes both material and processing costs.</t>
    </r>
  </si>
  <si>
    <t>Material</t>
  </si>
  <si>
    <t>Mass (kg)</t>
  </si>
  <si>
    <t>Material Cost ($/kg)</t>
  </si>
  <si>
    <t>ME-001</t>
  </si>
  <si>
    <t>Casework Top</t>
  </si>
  <si>
    <t>Injection Molder</t>
  </si>
  <si>
    <t>ABS</t>
  </si>
  <si>
    <t>ME-002</t>
  </si>
  <si>
    <t>Casework Bottom</t>
  </si>
  <si>
    <t>Packaging &amp; Additional</t>
  </si>
  <si>
    <r>
      <rPr>
        <sz val="11"/>
        <color rgb="FF000000"/>
        <rFont val="Calibri"/>
        <charset val="134"/>
      </rPr>
      <t xml:space="preserve">Note: </t>
    </r>
    <r>
      <rPr>
        <u/>
        <sz val="11"/>
        <color rgb="FF1155CC"/>
        <rFont val="Calibri"/>
        <charset val="134"/>
      </rPr>
      <t>PackMojo</t>
    </r>
    <r>
      <rPr>
        <sz val="11"/>
        <color rgb="FF000000"/>
        <rFont val="Calibri"/>
        <charset val="134"/>
      </rPr>
      <t xml:space="preserve"> is one of many shipping calculators.</t>
    </r>
  </si>
  <si>
    <t>PKG-001</t>
  </si>
  <si>
    <t>5V USB-C Charger</t>
  </si>
  <si>
    <t>CUI</t>
  </si>
  <si>
    <t>PKG-002</t>
  </si>
  <si>
    <t>USB-C to USB-C Cable</t>
  </si>
  <si>
    <t>PKG-003</t>
  </si>
  <si>
    <t>Packaging Top</t>
  </si>
  <si>
    <t>Packaging Partner</t>
  </si>
  <si>
    <t>PKG-004</t>
  </si>
  <si>
    <t>Packaging Bottom</t>
  </si>
  <si>
    <t>PKG-005</t>
  </si>
  <si>
    <t>Packaging Interior</t>
  </si>
  <si>
    <t>Software Costs</t>
  </si>
  <si>
    <t>Service Provider</t>
  </si>
  <si>
    <t># of supported Devices</t>
  </si>
  <si>
    <t>Monthly Cost</t>
  </si>
  <si>
    <t>Annual Cost</t>
  </si>
  <si>
    <t>URL</t>
  </si>
  <si>
    <t>SW-001</t>
  </si>
  <si>
    <t>Wiliot Intelligence Platform</t>
  </si>
  <si>
    <t>Wiliot Ltd.</t>
  </si>
  <si>
    <t>https://www.wiliot.com</t>
  </si>
  <si>
    <t>Uses/Description</t>
  </si>
  <si>
    <t>Density (kg/m^3)</t>
  </si>
  <si>
    <t>Cost (USD/kg)</t>
  </si>
  <si>
    <t>Basic iron or steel</t>
  </si>
  <si>
    <t>High-performance steel</t>
  </si>
  <si>
    <t>Stainless steel</t>
  </si>
  <si>
    <t>Aluminum</t>
  </si>
  <si>
    <t>Magnesium</t>
  </si>
  <si>
    <t>Copper</t>
  </si>
  <si>
    <t>Brass</t>
  </si>
  <si>
    <t>Titanium</t>
  </si>
  <si>
    <t>PVC</t>
  </si>
  <si>
    <t>Only the cheapest plastic stuff, like pipes and fencing.</t>
  </si>
  <si>
    <t>Polyethylene/Polypropylene/Polystyrene/PET</t>
  </si>
  <si>
    <t>Most inexpensive plastic products (e.g., milk cartons)</t>
  </si>
  <si>
    <t>Acrylic/PMMA (i.e. Plexiglas)</t>
  </si>
  <si>
    <t>Crystal clear plastic parts</t>
  </si>
  <si>
    <t>ABS or Nylon</t>
  </si>
  <si>
    <t>Tough, strong plastic parts</t>
  </si>
  <si>
    <t>Polycarbonate (i.e. Lexan)</t>
  </si>
  <si>
    <t>Really tough, strong plastic parts; can be clear.</t>
  </si>
  <si>
    <t>Printed Circuit Board materials (fiberglass/copper)</t>
  </si>
  <si>
    <t>just for the raw board itself</t>
  </si>
  <si>
    <t>Rubber (e.g., urethane, neoprene)</t>
  </si>
  <si>
    <t>Paper</t>
  </si>
  <si>
    <t>recycled content</t>
  </si>
  <si>
    <t>Cardboard</t>
  </si>
  <si>
    <t>recycled content, (density is for non-corrugated)</t>
  </si>
  <si>
    <t>Structural wood grades - non visible</t>
  </si>
  <si>
    <t>Visual wood grades</t>
  </si>
  <si>
    <t>Fabric - nylon or cotton</t>
  </si>
  <si>
    <t>choose fabric weight (often expressed in oz/sq-yd) then estimate mass</t>
  </si>
  <si>
    <t>Webbing/strapping/rope</t>
  </si>
  <si>
    <t>Cost Drivers (DON'T CHANGE THESE)</t>
  </si>
  <si>
    <t>Ratio of cost to single-unit retail price</t>
  </si>
  <si>
    <t>Ratio of processing cost to raw material cost for custom component</t>
  </si>
  <si>
    <t>Labor cost per part</t>
  </si>
  <si>
    <t>$/part</t>
  </si>
  <si>
    <t>Overhead costs - custom parts</t>
  </si>
  <si>
    <t>$/custom part #</t>
  </si>
  <si>
    <t>Overhead costs - catalog parts</t>
  </si>
  <si>
    <t>$/catalog part #</t>
  </si>
  <si>
    <t>Cost of shipping container</t>
  </si>
  <si>
    <t>$/container</t>
  </si>
  <si>
    <t>Based on Prof. Taylor Caputo's work! Thank you!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</si>
</sst>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_(&quot;$&quot;* #,##0.00_);_(&quot;$&quot;* \(#,##0.00\);_(&quot;$&quot;* &quot;-&quot;??_);_(@_)"/>
    <numFmt numFmtId="178" formatCode="&quot;$&quot;#,##0.00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2"/>
      <color rgb="FF33333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  <font>
      <u/>
      <sz val="11"/>
      <color rgb="FF1155CC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1155CC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8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/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77" fontId="2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/>
    <xf numFmtId="177" fontId="1" fillId="2" borderId="0" xfId="0" applyNumberFormat="1" applyFont="1" applyFill="1" applyAlignment="1">
      <alignment wrapText="1"/>
    </xf>
    <xf numFmtId="0" fontId="1" fillId="2" borderId="0" xfId="0" applyFont="1" applyFill="1" applyAlignment="1"/>
    <xf numFmtId="0" fontId="3" fillId="0" borderId="0" xfId="0" applyFont="1" applyAlignment="1"/>
    <xf numFmtId="0" fontId="2" fillId="0" borderId="0" xfId="0" applyFont="1" applyAlignment="1">
      <alignment vertical="center" wrapText="1"/>
    </xf>
    <xf numFmtId="0" fontId="3" fillId="2" borderId="0" xfId="0" applyFont="1" applyFill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/>
    <xf numFmtId="0" fontId="1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4" borderId="0" xfId="0" applyFont="1" applyFill="1" applyAlignment="1"/>
    <xf numFmtId="0" fontId="5" fillId="5" borderId="0" xfId="0" applyFont="1" applyFill="1" applyAlignment="1">
      <alignment wrapText="1"/>
    </xf>
    <xf numFmtId="0" fontId="6" fillId="5" borderId="0" xfId="0" applyFont="1" applyFill="1" applyAlignment="1"/>
    <xf numFmtId="0" fontId="2" fillId="6" borderId="0" xfId="0" applyFont="1" applyFill="1" applyAlignment="1">
      <alignment wrapText="1"/>
    </xf>
    <xf numFmtId="177" fontId="1" fillId="6" borderId="0" xfId="0" applyNumberFormat="1" applyFont="1" applyFill="1" applyAlignment="1">
      <alignment wrapText="1"/>
    </xf>
    <xf numFmtId="0" fontId="1" fillId="6" borderId="0" xfId="0" applyFont="1" applyFill="1" applyAlignment="1">
      <alignment wrapText="1"/>
    </xf>
    <xf numFmtId="177" fontId="2" fillId="6" borderId="0" xfId="0" applyNumberFormat="1" applyFont="1" applyFill="1" applyAlignment="1">
      <alignment wrapText="1"/>
    </xf>
    <xf numFmtId="0" fontId="7" fillId="0" borderId="0" xfId="0" applyFont="1"/>
    <xf numFmtId="177" fontId="1" fillId="3" borderId="0" xfId="0" applyNumberFormat="1" applyFont="1" applyFill="1" applyAlignment="1">
      <alignment wrapText="1"/>
    </xf>
    <xf numFmtId="0" fontId="0" fillId="0" borderId="0" xfId="0" applyFont="1"/>
    <xf numFmtId="177" fontId="1" fillId="4" borderId="0" xfId="0" applyNumberFormat="1" applyFont="1" applyFill="1" applyAlignment="1">
      <alignment wrapText="1"/>
    </xf>
    <xf numFmtId="2" fontId="0" fillId="0" borderId="0" xfId="0" applyNumberFormat="1" applyFont="1"/>
    <xf numFmtId="177" fontId="1" fillId="5" borderId="0" xfId="0" applyNumberFormat="1" applyFont="1" applyFill="1" applyAlignment="1">
      <alignment wrapText="1"/>
    </xf>
    <xf numFmtId="49" fontId="8" fillId="0" borderId="0" xfId="0" applyNumberFormat="1" applyFont="1" applyAlignment="1"/>
    <xf numFmtId="49" fontId="9" fillId="0" borderId="0" xfId="0" applyNumberFormat="1" applyFont="1" applyAlignment="1"/>
    <xf numFmtId="0" fontId="9" fillId="0" borderId="0" xfId="0" applyFont="1" applyAlignment="1"/>
    <xf numFmtId="49" fontId="9" fillId="7" borderId="1" xfId="0" applyNumberFormat="1" applyFont="1" applyFill="1" applyBorder="1" applyAlignment="1"/>
    <xf numFmtId="49" fontId="0" fillId="7" borderId="1" xfId="0" applyNumberFormat="1" applyFont="1" applyFill="1" applyBorder="1" applyAlignment="1"/>
    <xf numFmtId="0" fontId="0" fillId="7" borderId="1" xfId="0" applyFont="1" applyFill="1" applyBorder="1" applyAlignment="1"/>
    <xf numFmtId="49" fontId="0" fillId="0" borderId="0" xfId="0" applyNumberFormat="1" applyFont="1" applyAlignment="1"/>
    <xf numFmtId="178" fontId="0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10" fontId="0" fillId="0" borderId="0" xfId="0" applyNumberFormat="1" applyFont="1" applyAlignment="1"/>
    <xf numFmtId="49" fontId="9" fillId="0" borderId="1" xfId="0" applyNumberFormat="1" applyFont="1" applyBorder="1" applyAlignment="1"/>
    <xf numFmtId="49" fontId="0" fillId="0" borderId="1" xfId="0" applyNumberFormat="1" applyFont="1" applyBorder="1" applyAlignment="1"/>
    <xf numFmtId="49" fontId="10" fillId="0" borderId="1" xfId="0" applyNumberFormat="1" applyFont="1" applyBorder="1" applyAlignment="1"/>
    <xf numFmtId="177" fontId="10" fillId="0" borderId="1" xfId="0" applyNumberFormat="1" applyFont="1" applyBorder="1" applyAlignment="1">
      <alignment horizontal="right"/>
    </xf>
    <xf numFmtId="0" fontId="0" fillId="0" borderId="0" xfId="0" applyFont="1" applyAlignment="1">
      <alignment horizontal="right"/>
    </xf>
    <xf numFmtId="49" fontId="9" fillId="0" borderId="2" xfId="0" applyNumberFormat="1" applyFont="1" applyBorder="1" applyAlignment="1"/>
    <xf numFmtId="49" fontId="0" fillId="0" borderId="2" xfId="0" applyNumberFormat="1" applyFont="1" applyBorder="1" applyAlignment="1"/>
    <xf numFmtId="49" fontId="10" fillId="0" borderId="2" xfId="0" applyNumberFormat="1" applyFont="1" applyBorder="1" applyAlignment="1"/>
    <xf numFmtId="177" fontId="10" fillId="0" borderId="2" xfId="0" applyNumberFormat="1" applyFont="1" applyBorder="1" applyAlignment="1">
      <alignment horizontal="right"/>
    </xf>
    <xf numFmtId="49" fontId="9" fillId="0" borderId="3" xfId="0" applyNumberFormat="1" applyFont="1" applyBorder="1" applyAlignment="1"/>
    <xf numFmtId="49" fontId="0" fillId="0" borderId="3" xfId="0" applyNumberFormat="1" applyFont="1" applyBorder="1" applyAlignment="1"/>
    <xf numFmtId="49" fontId="10" fillId="0" borderId="3" xfId="0" applyNumberFormat="1" applyFont="1" applyBorder="1" applyAlignment="1"/>
    <xf numFmtId="177" fontId="10" fillId="0" borderId="3" xfId="0" applyNumberFormat="1" applyFont="1" applyBorder="1" applyAlignment="1">
      <alignment horizontal="right"/>
    </xf>
    <xf numFmtId="3" fontId="0" fillId="0" borderId="0" xfId="0" applyNumberFormat="1" applyFont="1" applyAlignment="1">
      <alignment horizontal="right"/>
    </xf>
    <xf numFmtId="49" fontId="10" fillId="0" borderId="0" xfId="0" applyNumberFormat="1" applyFont="1" applyAlignment="1"/>
    <xf numFmtId="3" fontId="10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177" fontId="10" fillId="0" borderId="0" xfId="0" applyNumberFormat="1" applyFont="1" applyAlignment="1">
      <alignment horizontal="right"/>
    </xf>
    <xf numFmtId="3" fontId="0" fillId="0" borderId="3" xfId="0" applyNumberFormat="1" applyFont="1" applyBorder="1" applyAlignment="1">
      <alignment horizontal="right"/>
    </xf>
    <xf numFmtId="3" fontId="0" fillId="0" borderId="0" xfId="0" applyNumberFormat="1" applyFont="1" applyAlignment="1"/>
    <xf numFmtId="3" fontId="0" fillId="7" borderId="1" xfId="0" applyNumberFormat="1" applyFont="1" applyFill="1" applyBorder="1" applyAlignment="1"/>
    <xf numFmtId="10" fontId="10" fillId="0" borderId="3" xfId="0" applyNumberFormat="1" applyFont="1" applyBorder="1" applyAlignment="1">
      <alignment horizontal="right"/>
    </xf>
    <xf numFmtId="10" fontId="0" fillId="7" borderId="1" xfId="0" applyNumberFormat="1" applyFont="1" applyFill="1" applyBorder="1" applyAlignment="1"/>
    <xf numFmtId="178" fontId="9" fillId="0" borderId="0" xfId="0" applyNumberFormat="1" applyFont="1" applyAlignment="1"/>
    <xf numFmtId="178" fontId="0" fillId="0" borderId="0" xfId="0" applyNumberFormat="1" applyFont="1" applyAlignment="1"/>
    <xf numFmtId="178" fontId="9" fillId="0" borderId="3" xfId="0" applyNumberFormat="1" applyFont="1" applyBorder="1" applyAlignment="1"/>
    <xf numFmtId="178" fontId="0" fillId="0" borderId="3" xfId="0" applyNumberFormat="1" applyFont="1" applyBorder="1" applyAlignment="1"/>
    <xf numFmtId="178" fontId="10" fillId="0" borderId="3" xfId="0" applyNumberFormat="1" applyFont="1" applyBorder="1" applyAlignment="1">
      <alignment horizontal="right"/>
    </xf>
    <xf numFmtId="0" fontId="0" fillId="0" borderId="2" xfId="0" applyFont="1" applyBorder="1" applyAlignment="1"/>
    <xf numFmtId="0" fontId="0" fillId="0" borderId="3" xfId="0" applyFont="1" applyBorder="1" applyAlignment="1"/>
    <xf numFmtId="49" fontId="11" fillId="0" borderId="2" xfId="0" applyNumberFormat="1" applyFont="1" applyBorder="1" applyAlignment="1"/>
    <xf numFmtId="49" fontId="11" fillId="0" borderId="0" xfId="0" applyNumberFormat="1" applyFont="1" applyAlignment="1"/>
    <xf numFmtId="49" fontId="11" fillId="0" borderId="3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Typical Current Distribution</a:t>
            </a:r>
            <a:endParaRPr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'Hardware BOM'!$O$8</c:f>
              <c:strCache>
                <c:ptCount val="1"/>
                <c:pt idx="0">
                  <c:v>Current Consumption,
typical case (mA)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ED7D31"/>
              </a:solidFill>
            </c:spPr>
          </c:dPt>
          <c:dPt>
            <c:idx val="2"/>
            <c:bubble3D val="0"/>
            <c:spPr>
              <a:solidFill>
                <a:srgbClr val="A5A5A5"/>
              </a:solidFill>
            </c:spPr>
          </c:dPt>
          <c:dPt>
            <c:idx val="3"/>
            <c:bubble3D val="0"/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'Hardware BOM'!$O$9:$O$13</c:f>
              <c:numCache>
                <c:formatCode>General</c:formatCode>
                <c:ptCount val="5"/>
                <c:pt idx="0">
                  <c:v>200</c:v>
                </c:pt>
                <c:pt idx="1">
                  <c:v>2.72</c:v>
                </c:pt>
                <c:pt idx="2">
                  <c:v>1</c:v>
                </c:pt>
                <c:pt idx="3">
                  <c:v>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abdb7b-1b11-4c42-8446-7a8a89aea14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Worse Case Current Distribution</a:t>
            </a:r>
            <a:endParaRPr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'Hardware BOM'!$P$8</c:f>
              <c:strCache>
                <c:ptCount val="1"/>
                <c:pt idx="0">
                  <c:v>Current Consumption, worst case (mA)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ED7D31"/>
              </a:solidFill>
            </c:spPr>
          </c:dPt>
          <c:dPt>
            <c:idx val="2"/>
            <c:bubble3D val="0"/>
            <c:spPr>
              <a:solidFill>
                <a:srgbClr val="A5A5A5"/>
              </a:solidFill>
            </c:spPr>
          </c:dPt>
          <c:dPt>
            <c:idx val="3"/>
            <c:bubble3D val="0"/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'Hardware BOM'!$P$9:$P$13</c:f>
              <c:numCache>
                <c:formatCode>General</c:formatCode>
                <c:ptCount val="5"/>
                <c:pt idx="0">
                  <c:v>500</c:v>
                </c:pt>
                <c:pt idx="1">
                  <c:v>12.3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e210ab-d7a4-4265-8440-794733cedf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342900</xdr:colOff>
      <xdr:row>0</xdr:row>
      <xdr:rowOff>0</xdr:rowOff>
    </xdr:from>
    <xdr:ext cx="2676525" cy="1428750"/>
    <xdr:graphicFrame>
      <xdr:nvGraphicFramePr>
        <xdr:cNvPr id="2" name="Chart 1" title="Chart"/>
        <xdr:cNvGraphicFramePr/>
      </xdr:nvGraphicFramePr>
      <xdr:xfrm>
        <a:off x="17050385" y="0"/>
        <a:ext cx="2676525" cy="1428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923925</xdr:colOff>
      <xdr:row>0</xdr:row>
      <xdr:rowOff>0</xdr:rowOff>
    </xdr:from>
    <xdr:ext cx="2676525" cy="1428750"/>
    <xdr:graphicFrame>
      <xdr:nvGraphicFramePr>
        <xdr:cNvPr id="3" name="Chart 2" title="Chart"/>
        <xdr:cNvGraphicFramePr/>
      </xdr:nvGraphicFramePr>
      <xdr:xfrm>
        <a:off x="22322790" y="0"/>
        <a:ext cx="2676525" cy="1428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stripe.com/pricing" TargetMode="External"/><Relationship Id="rId6" Type="http://schemas.openxmlformats.org/officeDocument/2006/relationships/hyperlink" Target="https://carbonfund.org/take-action/businesses/business-calculators" TargetMode="External"/><Relationship Id="rId5" Type="http://schemas.openxmlformats.org/officeDocument/2006/relationships/hyperlink" Target="https://www.freightos.com/" TargetMode="External"/><Relationship Id="rId4" Type="http://schemas.openxmlformats.org/officeDocument/2006/relationships/hyperlink" Target="https://www.onpallet.com/" TargetMode="External"/><Relationship Id="rId3" Type="http://schemas.openxmlformats.org/officeDocument/2006/relationships/hyperlink" Target="https://gsuite.google.com/marketplace/app/dragon_standard_bom/499121254478?pann=cwsdp&amp;hl=en" TargetMode="External"/><Relationship Id="rId2" Type="http://schemas.openxmlformats.org/officeDocument/2006/relationships/hyperlink" Target="https://medium.com/@BenEinstein/will-your-hardware-startup-make-money-677a8e6c665b" TargetMode="External"/><Relationship Id="rId1" Type="http://schemas.openxmlformats.org/officeDocument/2006/relationships/hyperlink" Target="https://community.frame.work/t/calculating-the-full-cost-of-a-hardware-product/163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packmojo.com/estimator/" TargetMode="External"/><Relationship Id="rId4" Type="http://schemas.openxmlformats.org/officeDocument/2006/relationships/hyperlink" Target="https://formlabs.com/blog/injection-molding-cost/" TargetMode="External"/><Relationship Id="rId3" Type="http://schemas.openxmlformats.org/officeDocument/2006/relationships/hyperlink" Target="https://www.mcmaster.com/" TargetMode="External"/><Relationship Id="rId2" Type="http://schemas.openxmlformats.org/officeDocument/2006/relationships/hyperlink" Target="https://medium.com/@lisa_89230/how-to-calculate-pcb-assembly-cost-bd15f524f4c2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i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28"/>
  <sheetViews>
    <sheetView topLeftCell="A38" workbookViewId="0">
      <selection activeCell="B14" sqref="B14"/>
    </sheetView>
  </sheetViews>
  <sheetFormatPr defaultColWidth="14.4296875" defaultRowHeight="15" customHeight="1" outlineLevelCol="3"/>
  <cols>
    <col min="1" max="1" width="38.2890625" customWidth="1"/>
    <col min="2" max="2" width="77.5703125" customWidth="1"/>
    <col min="3" max="3" width="23.7109375" customWidth="1"/>
  </cols>
  <sheetData>
    <row r="1" customHeight="1" spans="1:4">
      <c r="A1" s="38" t="s">
        <v>0</v>
      </c>
      <c r="B1" s="39" t="s">
        <v>1</v>
      </c>
      <c r="C1" s="39" t="s">
        <v>2</v>
      </c>
      <c r="D1" s="40" t="s">
        <v>3</v>
      </c>
    </row>
    <row r="2" customHeight="1" spans="1:4">
      <c r="A2" s="41" t="s">
        <v>4</v>
      </c>
      <c r="B2" s="42"/>
      <c r="C2" s="42"/>
      <c r="D2" s="43"/>
    </row>
    <row r="3" customHeight="1" spans="1:4">
      <c r="A3" s="44" t="s">
        <v>5</v>
      </c>
      <c r="B3" s="44" t="s">
        <v>6</v>
      </c>
      <c r="C3" s="44" t="s">
        <v>7</v>
      </c>
      <c r="D3" s="45">
        <v>20</v>
      </c>
    </row>
    <row r="4" customHeight="1" spans="1:4">
      <c r="A4" s="44" t="s">
        <v>8</v>
      </c>
      <c r="B4" s="44" t="s">
        <v>9</v>
      </c>
      <c r="C4" s="44" t="s">
        <v>7</v>
      </c>
      <c r="D4" s="45">
        <v>2</v>
      </c>
    </row>
    <row r="5" customHeight="1" spans="1:4">
      <c r="A5" s="44" t="s">
        <v>10</v>
      </c>
      <c r="B5" s="44" t="s">
        <v>11</v>
      </c>
      <c r="C5" s="44" t="s">
        <v>12</v>
      </c>
      <c r="D5" s="46">
        <v>0.98</v>
      </c>
    </row>
    <row r="6" customHeight="1" spans="1:4">
      <c r="A6" s="44" t="s">
        <v>13</v>
      </c>
      <c r="B6" s="44" t="s">
        <v>14</v>
      </c>
      <c r="C6" s="44" t="s">
        <v>12</v>
      </c>
      <c r="D6" s="45">
        <v>5</v>
      </c>
    </row>
    <row r="7" customHeight="1" spans="1:4">
      <c r="A7" s="47" t="s">
        <v>15</v>
      </c>
      <c r="B7" s="47" t="s">
        <v>16</v>
      </c>
      <c r="C7" s="47" t="s">
        <v>12</v>
      </c>
      <c r="D7" s="46">
        <f>99%</f>
        <v>0.99</v>
      </c>
    </row>
    <row r="8" customHeight="1" spans="1:4">
      <c r="A8" s="48" t="s">
        <v>17</v>
      </c>
      <c r="B8" s="49" t="s">
        <v>18</v>
      </c>
      <c r="C8" s="50" t="s">
        <v>19</v>
      </c>
      <c r="D8" s="51">
        <f>IFERROR((D3+D4)/D7,0)+(1-D5)*D6</f>
        <v>22.3222222222222</v>
      </c>
    </row>
    <row r="9" customHeight="1" spans="1:3">
      <c r="A9" s="44"/>
      <c r="B9" s="44"/>
      <c r="C9" s="44"/>
    </row>
    <row r="10" customHeight="1" spans="1:3">
      <c r="A10" s="44"/>
      <c r="B10" s="44"/>
      <c r="C10" s="44"/>
    </row>
    <row r="11" customHeight="1" spans="1:4">
      <c r="A11" s="41" t="s">
        <v>20</v>
      </c>
      <c r="B11" s="42"/>
      <c r="C11" s="42"/>
      <c r="D11" s="43"/>
    </row>
    <row r="12" customHeight="1" spans="1:4">
      <c r="A12" s="44" t="s">
        <v>21</v>
      </c>
      <c r="B12" s="44" t="s">
        <v>22</v>
      </c>
      <c r="C12" s="44" t="s">
        <v>23</v>
      </c>
      <c r="D12" s="52">
        <v>30</v>
      </c>
    </row>
    <row r="13" customHeight="1" spans="1:4">
      <c r="A13" s="44" t="s">
        <v>24</v>
      </c>
      <c r="B13" s="44" t="s">
        <v>25</v>
      </c>
      <c r="C13" s="44" t="s">
        <v>26</v>
      </c>
      <c r="D13" s="52">
        <v>60</v>
      </c>
    </row>
    <row r="14" customHeight="1" spans="1:4">
      <c r="A14" s="44" t="s">
        <v>27</v>
      </c>
      <c r="B14" s="44" t="s">
        <v>28</v>
      </c>
      <c r="C14" s="44" t="s">
        <v>29</v>
      </c>
      <c r="D14" t="s">
        <v>30</v>
      </c>
    </row>
    <row r="15" customHeight="1" spans="1:4">
      <c r="A15" s="44" t="s">
        <v>31</v>
      </c>
      <c r="B15" s="44" t="s">
        <v>32</v>
      </c>
      <c r="C15" s="44" t="s">
        <v>29</v>
      </c>
      <c r="D15" s="46">
        <v>0.1</v>
      </c>
    </row>
    <row r="16" customHeight="1" spans="1:4">
      <c r="A16" s="53" t="s">
        <v>33</v>
      </c>
      <c r="B16" s="54" t="s">
        <v>34</v>
      </c>
      <c r="C16" s="55" t="s">
        <v>19</v>
      </c>
      <c r="D16" s="56">
        <f>(D15/365)*D8*MAX(D13-D12,0)</f>
        <v>0.183470319634703</v>
      </c>
    </row>
    <row r="17" customHeight="1" spans="1:4">
      <c r="A17" s="57" t="s">
        <v>35</v>
      </c>
      <c r="B17" s="58"/>
      <c r="C17" s="59" t="s">
        <v>19</v>
      </c>
      <c r="D17" s="60">
        <f>D8+D16</f>
        <v>22.5056925418569</v>
      </c>
    </row>
    <row r="18" customHeight="1" spans="1:3">
      <c r="A18" s="44"/>
      <c r="B18" s="44"/>
      <c r="C18" s="44"/>
    </row>
    <row r="19" customHeight="1" spans="1:3">
      <c r="A19" s="44"/>
      <c r="B19" s="44"/>
      <c r="C19" s="44"/>
    </row>
    <row r="20" customHeight="1" spans="1:4">
      <c r="A20" s="41" t="s">
        <v>36</v>
      </c>
      <c r="B20" s="42"/>
      <c r="C20" s="42"/>
      <c r="D20" s="43"/>
    </row>
    <row r="21" customHeight="1" spans="1:4">
      <c r="A21" s="44" t="s">
        <v>37</v>
      </c>
      <c r="B21" s="44" t="s">
        <v>38</v>
      </c>
      <c r="C21" s="44" t="s">
        <v>39</v>
      </c>
      <c r="D21" s="61">
        <v>40</v>
      </c>
    </row>
    <row r="22" customHeight="1" spans="1:4">
      <c r="A22" s="44" t="s">
        <v>40</v>
      </c>
      <c r="B22" s="44" t="s">
        <v>41</v>
      </c>
      <c r="C22" s="44" t="s">
        <v>39</v>
      </c>
      <c r="D22" s="45">
        <v>5</v>
      </c>
    </row>
    <row r="23" customHeight="1" spans="1:4">
      <c r="A23" s="44" t="s">
        <v>42</v>
      </c>
      <c r="B23" s="44" t="s">
        <v>43</v>
      </c>
      <c r="C23" s="44" t="s">
        <v>39</v>
      </c>
      <c r="D23" s="61">
        <v>15</v>
      </c>
    </row>
    <row r="24" customHeight="1" spans="1:4">
      <c r="A24" s="44" t="s">
        <v>44</v>
      </c>
      <c r="B24" s="44" t="s">
        <v>45</v>
      </c>
      <c r="C24" s="62" t="s">
        <v>19</v>
      </c>
      <c r="D24" s="63">
        <f>D21*D23</f>
        <v>600</v>
      </c>
    </row>
    <row r="25" customHeight="1" spans="1:4">
      <c r="A25" s="44" t="s">
        <v>46</v>
      </c>
      <c r="B25" s="44" t="s">
        <v>47</v>
      </c>
      <c r="C25" s="44" t="s">
        <v>48</v>
      </c>
      <c r="D25" s="45">
        <v>2000</v>
      </c>
    </row>
    <row r="26" customHeight="1" spans="1:4">
      <c r="A26" s="44" t="s">
        <v>49</v>
      </c>
      <c r="B26" s="44" t="s">
        <v>50</v>
      </c>
      <c r="C26" s="44" t="s">
        <v>51</v>
      </c>
      <c r="D26" s="45">
        <v>25</v>
      </c>
    </row>
    <row r="27" customHeight="1" spans="1:4">
      <c r="A27" s="44" t="s">
        <v>52</v>
      </c>
      <c r="B27" s="44" t="s">
        <v>53</v>
      </c>
      <c r="C27" s="44" t="s">
        <v>48</v>
      </c>
      <c r="D27" s="45">
        <v>300</v>
      </c>
    </row>
    <row r="28" customHeight="1" spans="1:4">
      <c r="A28" s="44" t="s">
        <v>54</v>
      </c>
      <c r="B28" s="44" t="s">
        <v>55</v>
      </c>
      <c r="C28" s="44" t="s">
        <v>51</v>
      </c>
      <c r="D28" s="45">
        <v>0.1</v>
      </c>
    </row>
    <row r="29" customHeight="1" spans="1:4">
      <c r="A29" s="44" t="s">
        <v>56</v>
      </c>
      <c r="B29" s="44" t="s">
        <v>57</v>
      </c>
      <c r="C29" s="62" t="s">
        <v>19</v>
      </c>
      <c r="D29" s="64">
        <f>IFERROR((D25+D26)/D24,0)</f>
        <v>3.375</v>
      </c>
    </row>
    <row r="30" customHeight="1" spans="1:4">
      <c r="A30" s="44" t="s">
        <v>58</v>
      </c>
      <c r="B30" s="44" t="s">
        <v>59</v>
      </c>
      <c r="C30" s="44" t="s">
        <v>48</v>
      </c>
      <c r="D30" s="64">
        <f>IFERROR((D27+D28)/D24,0)</f>
        <v>0.500166666666667</v>
      </c>
    </row>
    <row r="31" customHeight="1" spans="1:4">
      <c r="A31" s="44" t="s">
        <v>60</v>
      </c>
      <c r="B31" s="44" t="s">
        <v>61</v>
      </c>
      <c r="C31" s="44" t="s">
        <v>39</v>
      </c>
      <c r="D31" s="46">
        <v>0.2</v>
      </c>
    </row>
    <row r="32" customHeight="1" spans="1:4">
      <c r="A32" s="44" t="s">
        <v>62</v>
      </c>
      <c r="B32" s="44" t="s">
        <v>63</v>
      </c>
      <c r="C32" s="44" t="s">
        <v>39</v>
      </c>
      <c r="D32" s="45">
        <v>400</v>
      </c>
    </row>
    <row r="33" customHeight="1" spans="1:4">
      <c r="A33" s="44" t="s">
        <v>64</v>
      </c>
      <c r="B33" s="44" t="s">
        <v>65</v>
      </c>
      <c r="C33" s="62" t="s">
        <v>19</v>
      </c>
      <c r="D33" s="64">
        <f>D29*D31+D30*(1-D31)+IFERROR(D22/D21,0)+IFERROR(D32/D24,0)</f>
        <v>1.8668</v>
      </c>
    </row>
    <row r="34" customHeight="1" spans="1:4">
      <c r="A34" s="44" t="s">
        <v>66</v>
      </c>
      <c r="B34" s="44" t="s">
        <v>67</v>
      </c>
      <c r="C34" s="44" t="s">
        <v>68</v>
      </c>
      <c r="D34" s="45">
        <v>1</v>
      </c>
    </row>
    <row r="35" customHeight="1" spans="1:4">
      <c r="A35" s="44" t="s">
        <v>69</v>
      </c>
      <c r="B35" s="44" t="s">
        <v>70</v>
      </c>
      <c r="C35" s="44" t="s">
        <v>68</v>
      </c>
      <c r="D35" s="45">
        <v>1</v>
      </c>
    </row>
    <row r="36" customHeight="1" spans="1:4">
      <c r="A36" s="44" t="s">
        <v>71</v>
      </c>
      <c r="B36" s="44" t="s">
        <v>72</v>
      </c>
      <c r="C36" s="44" t="s">
        <v>68</v>
      </c>
      <c r="D36" s="45">
        <v>1</v>
      </c>
    </row>
    <row r="37" customHeight="1" spans="1:4">
      <c r="A37" s="44" t="s">
        <v>73</v>
      </c>
      <c r="B37" s="44" t="s">
        <v>74</v>
      </c>
      <c r="C37" s="44" t="s">
        <v>75</v>
      </c>
      <c r="D37" s="45">
        <v>5</v>
      </c>
    </row>
    <row r="38" customHeight="1" spans="1:4">
      <c r="A38" s="44" t="s">
        <v>76</v>
      </c>
      <c r="B38" s="44" t="s">
        <v>77</v>
      </c>
      <c r="C38" s="44" t="s">
        <v>51</v>
      </c>
      <c r="D38" s="45">
        <v>0.01</v>
      </c>
    </row>
    <row r="39" customHeight="1" spans="1:4">
      <c r="A39" s="44" t="s">
        <v>78</v>
      </c>
      <c r="B39" s="44" t="s">
        <v>79</v>
      </c>
      <c r="C39" s="44" t="s">
        <v>80</v>
      </c>
      <c r="D39" s="46">
        <v>0.029</v>
      </c>
    </row>
    <row r="40" customHeight="1" spans="1:4">
      <c r="A40" s="44" t="s">
        <v>81</v>
      </c>
      <c r="B40" s="44" t="s">
        <v>82</v>
      </c>
      <c r="C40" s="44" t="s">
        <v>39</v>
      </c>
      <c r="D40" s="46">
        <v>0</v>
      </c>
    </row>
    <row r="41" customHeight="1" spans="1:4">
      <c r="A41" s="53" t="s">
        <v>83</v>
      </c>
      <c r="B41" s="54" t="s">
        <v>84</v>
      </c>
      <c r="C41" s="55" t="s">
        <v>19</v>
      </c>
      <c r="D41" s="56">
        <f>SUM(D33:D38)</f>
        <v>9.8768</v>
      </c>
    </row>
    <row r="42" customHeight="1" spans="1:4">
      <c r="A42" s="39" t="s">
        <v>85</v>
      </c>
      <c r="B42" s="44" t="s">
        <v>86</v>
      </c>
      <c r="C42" s="62" t="s">
        <v>19</v>
      </c>
      <c r="D42" s="65">
        <f>D39*D88</f>
        <v>1.74</v>
      </c>
    </row>
    <row r="43" customHeight="1" spans="1:4">
      <c r="A43" s="39" t="s">
        <v>87</v>
      </c>
      <c r="B43" s="44" t="s">
        <v>88</v>
      </c>
      <c r="C43" s="62" t="s">
        <v>19</v>
      </c>
      <c r="D43" s="65">
        <f>D40*D8</f>
        <v>0</v>
      </c>
    </row>
    <row r="44" customHeight="1" spans="1:4">
      <c r="A44" s="57" t="s">
        <v>89</v>
      </c>
      <c r="B44" s="58" t="s">
        <v>90</v>
      </c>
      <c r="C44" s="59" t="s">
        <v>19</v>
      </c>
      <c r="D44" s="60">
        <f>D17+SUM(D41:D43)</f>
        <v>34.1224925418569</v>
      </c>
    </row>
    <row r="45" customHeight="1" spans="1:3">
      <c r="A45" s="44"/>
      <c r="B45" s="44"/>
      <c r="C45" s="44"/>
    </row>
    <row r="46" customHeight="1" spans="1:3">
      <c r="A46" s="44"/>
      <c r="B46" s="44"/>
      <c r="C46" s="44"/>
    </row>
    <row r="47" customHeight="1" spans="1:4">
      <c r="A47" s="41" t="s">
        <v>91</v>
      </c>
      <c r="B47" s="42"/>
      <c r="C47" s="42"/>
      <c r="D47" s="43"/>
    </row>
    <row r="48" customHeight="1" spans="1:4">
      <c r="A48" s="44" t="s">
        <v>92</v>
      </c>
      <c r="B48" s="44" t="s">
        <v>93</v>
      </c>
      <c r="C48" s="44" t="s">
        <v>94</v>
      </c>
      <c r="D48" s="46">
        <v>0.05</v>
      </c>
    </row>
    <row r="49" customHeight="1" spans="1:4">
      <c r="A49" s="44" t="s">
        <v>95</v>
      </c>
      <c r="B49" s="44" t="s">
        <v>96</v>
      </c>
      <c r="C49" s="44" t="s">
        <v>75</v>
      </c>
      <c r="D49" s="45">
        <v>5</v>
      </c>
    </row>
    <row r="50" customHeight="1" spans="1:4">
      <c r="A50" s="44" t="s">
        <v>97</v>
      </c>
      <c r="B50" s="44" t="s">
        <v>98</v>
      </c>
      <c r="C50" s="44" t="s">
        <v>23</v>
      </c>
      <c r="D50" s="45">
        <v>5</v>
      </c>
    </row>
    <row r="51" customHeight="1" spans="1:4">
      <c r="A51" s="44" t="s">
        <v>99</v>
      </c>
      <c r="B51" s="44" t="s">
        <v>100</v>
      </c>
      <c r="C51" s="44" t="s">
        <v>94</v>
      </c>
      <c r="D51" s="46">
        <v>0.8</v>
      </c>
    </row>
    <row r="52" customHeight="1" spans="1:4">
      <c r="A52" s="44" t="s">
        <v>101</v>
      </c>
      <c r="B52" s="44" t="s">
        <v>102</v>
      </c>
      <c r="C52" s="44" t="s">
        <v>23</v>
      </c>
      <c r="D52" s="46">
        <v>0.05</v>
      </c>
    </row>
    <row r="53" customHeight="1" spans="1:4">
      <c r="A53" s="44" t="s">
        <v>103</v>
      </c>
      <c r="B53" s="44" t="s">
        <v>104</v>
      </c>
      <c r="C53" s="44" t="s">
        <v>23</v>
      </c>
      <c r="D53" s="45">
        <v>5</v>
      </c>
    </row>
    <row r="54" customHeight="1" spans="1:4">
      <c r="A54" s="44" t="s">
        <v>105</v>
      </c>
      <c r="B54" s="44" t="s">
        <v>106</v>
      </c>
      <c r="C54" s="44" t="s">
        <v>23</v>
      </c>
      <c r="D54" s="46">
        <v>0.03</v>
      </c>
    </row>
    <row r="55" customHeight="1" spans="1:4">
      <c r="A55" s="44" t="s">
        <v>107</v>
      </c>
      <c r="B55" s="44" t="s">
        <v>108</v>
      </c>
      <c r="C55" s="44" t="s">
        <v>109</v>
      </c>
      <c r="D55" s="45">
        <v>2</v>
      </c>
    </row>
    <row r="56" customHeight="1" spans="1:4">
      <c r="A56" s="53" t="s">
        <v>110</v>
      </c>
      <c r="B56" s="54" t="s">
        <v>111</v>
      </c>
      <c r="C56" s="55" t="s">
        <v>19</v>
      </c>
      <c r="D56" s="56">
        <f>D48*(D49+D55+D50)*D89+(D52-D54)*(D53+D55)*D89</f>
        <v>14800</v>
      </c>
    </row>
    <row r="57" customHeight="1" spans="1:4">
      <c r="A57" s="39" t="s">
        <v>112</v>
      </c>
      <c r="B57" s="44" t="s">
        <v>113</v>
      </c>
      <c r="C57" s="62" t="s">
        <v>19</v>
      </c>
      <c r="D57" s="65">
        <f>IFERROR(D56/D89,0)</f>
        <v>0.74</v>
      </c>
    </row>
    <row r="58" customHeight="1" spans="1:4">
      <c r="A58" s="57" t="s">
        <v>114</v>
      </c>
      <c r="B58" s="58"/>
      <c r="C58" s="59" t="s">
        <v>19</v>
      </c>
      <c r="D58" s="60">
        <f>D44+D57</f>
        <v>34.8624925418569</v>
      </c>
    </row>
    <row r="59" customHeight="1" spans="1:3">
      <c r="A59" s="44"/>
      <c r="B59" s="44"/>
      <c r="C59" s="44"/>
    </row>
    <row r="60" customHeight="1" spans="1:3">
      <c r="A60" s="44"/>
      <c r="B60" s="44"/>
      <c r="C60" s="44"/>
    </row>
    <row r="61" customHeight="1" spans="1:4">
      <c r="A61" s="41" t="s">
        <v>115</v>
      </c>
      <c r="B61" s="42"/>
      <c r="C61" s="42"/>
      <c r="D61" s="43"/>
    </row>
    <row r="62" customHeight="1" spans="1:4">
      <c r="A62" s="44" t="s">
        <v>116</v>
      </c>
      <c r="B62" s="44" t="s">
        <v>117</v>
      </c>
      <c r="C62" s="44" t="s">
        <v>23</v>
      </c>
      <c r="D62" s="45">
        <v>30000</v>
      </c>
    </row>
    <row r="63" customHeight="1" spans="1:4">
      <c r="A63" s="44" t="s">
        <v>118</v>
      </c>
      <c r="B63" s="44" t="s">
        <v>119</v>
      </c>
      <c r="C63" s="44" t="s">
        <v>23</v>
      </c>
      <c r="D63" s="45">
        <v>5000</v>
      </c>
    </row>
    <row r="64" customHeight="1" spans="1:4">
      <c r="A64" s="44" t="s">
        <v>120</v>
      </c>
      <c r="B64" s="44" t="s">
        <v>121</v>
      </c>
      <c r="C64" s="44" t="s">
        <v>23</v>
      </c>
      <c r="D64" s="45">
        <v>50000</v>
      </c>
    </row>
    <row r="65" customHeight="1" spans="1:4">
      <c r="A65" s="44" t="s">
        <v>122</v>
      </c>
      <c r="B65" s="44" t="s">
        <v>123</v>
      </c>
      <c r="C65" s="44" t="s">
        <v>23</v>
      </c>
      <c r="D65" s="45">
        <v>5000</v>
      </c>
    </row>
    <row r="66" customHeight="1" spans="1:4">
      <c r="A66" s="44" t="s">
        <v>124</v>
      </c>
      <c r="B66" s="44" t="s">
        <v>125</v>
      </c>
      <c r="C66" s="44" t="s">
        <v>23</v>
      </c>
      <c r="D66" s="45">
        <v>10000</v>
      </c>
    </row>
    <row r="67" customHeight="1" spans="1:4">
      <c r="A67" s="44" t="s">
        <v>126</v>
      </c>
      <c r="B67" s="44" t="s">
        <v>127</v>
      </c>
      <c r="C67" s="44" t="s">
        <v>23</v>
      </c>
      <c r="D67" s="46">
        <v>0.03</v>
      </c>
    </row>
    <row r="68" customHeight="1" spans="1:4">
      <c r="A68" s="53" t="s">
        <v>128</v>
      </c>
      <c r="B68" s="54" t="s">
        <v>129</v>
      </c>
      <c r="C68" s="55" t="s">
        <v>19</v>
      </c>
      <c r="D68" s="56">
        <f>SUM(D62:D66)+D67*D3*D89</f>
        <v>112000</v>
      </c>
    </row>
    <row r="69" customHeight="1" spans="1:4">
      <c r="A69" s="39" t="s">
        <v>130</v>
      </c>
      <c r="B69" s="44" t="s">
        <v>131</v>
      </c>
      <c r="C69" s="62" t="s">
        <v>19</v>
      </c>
      <c r="D69" s="65">
        <f>IFERROR(D68/D89,0)</f>
        <v>5.6</v>
      </c>
    </row>
    <row r="70" customHeight="1" spans="1:4">
      <c r="A70" s="57" t="s">
        <v>132</v>
      </c>
      <c r="B70" s="58"/>
      <c r="C70" s="59" t="s">
        <v>19</v>
      </c>
      <c r="D70" s="60">
        <f>D58+D69</f>
        <v>40.4624925418569</v>
      </c>
    </row>
    <row r="71" customHeight="1" spans="1:3">
      <c r="A71" s="44"/>
      <c r="B71" s="44"/>
      <c r="C71" s="44"/>
    </row>
    <row r="72" customHeight="1" spans="1:3">
      <c r="A72" s="44"/>
      <c r="B72" s="44"/>
      <c r="C72" s="44"/>
    </row>
    <row r="73" customHeight="1" spans="1:4">
      <c r="A73" s="41" t="s">
        <v>133</v>
      </c>
      <c r="B73" s="42"/>
      <c r="C73" s="42"/>
      <c r="D73" s="43"/>
    </row>
    <row r="74" customHeight="1" spans="1:4">
      <c r="A74" s="44" t="s">
        <v>134</v>
      </c>
      <c r="B74" s="44" t="s">
        <v>135</v>
      </c>
      <c r="C74" s="44" t="s">
        <v>136</v>
      </c>
      <c r="D74" s="45">
        <v>50000</v>
      </c>
    </row>
    <row r="75" customHeight="1" spans="1:4">
      <c r="A75" s="44" t="s">
        <v>137</v>
      </c>
      <c r="B75" s="44" t="s">
        <v>138</v>
      </c>
      <c r="C75" s="44" t="s">
        <v>136</v>
      </c>
      <c r="D75" s="45">
        <v>100000</v>
      </c>
    </row>
    <row r="76" customHeight="1" spans="1:4">
      <c r="A76" s="44" t="s">
        <v>139</v>
      </c>
      <c r="B76" s="44" t="s">
        <v>140</v>
      </c>
      <c r="C76" s="44" t="s">
        <v>94</v>
      </c>
      <c r="D76" s="46">
        <v>0.01</v>
      </c>
    </row>
    <row r="77" customHeight="1" spans="1:4">
      <c r="A77" s="44" t="s">
        <v>141</v>
      </c>
      <c r="B77" s="44" t="s">
        <v>142</v>
      </c>
      <c r="C77" s="44" t="s">
        <v>94</v>
      </c>
      <c r="D77" s="45">
        <v>3</v>
      </c>
    </row>
    <row r="78" customHeight="1" spans="1:4">
      <c r="A78" s="44" t="s">
        <v>143</v>
      </c>
      <c r="B78" s="44" t="s">
        <v>144</v>
      </c>
      <c r="C78" s="44" t="s">
        <v>94</v>
      </c>
      <c r="D78" s="45">
        <v>100000</v>
      </c>
    </row>
    <row r="79" customHeight="1" spans="1:4">
      <c r="A79" s="53" t="s">
        <v>128</v>
      </c>
      <c r="B79" s="54" t="s">
        <v>145</v>
      </c>
      <c r="C79" s="55" t="s">
        <v>19</v>
      </c>
      <c r="D79" s="56">
        <f>D74+D75+D78</f>
        <v>250000</v>
      </c>
    </row>
    <row r="80" customHeight="1" spans="1:4">
      <c r="A80" s="39" t="s">
        <v>146</v>
      </c>
      <c r="B80" s="44" t="s">
        <v>147</v>
      </c>
      <c r="C80" s="62" t="s">
        <v>19</v>
      </c>
      <c r="D80" s="65">
        <f>D77*D89+D76*D95</f>
        <v>71400</v>
      </c>
    </row>
    <row r="81" customHeight="1" spans="1:4">
      <c r="A81" s="39" t="s">
        <v>148</v>
      </c>
      <c r="B81" s="44" t="s">
        <v>149</v>
      </c>
      <c r="C81" s="62" t="s">
        <v>19</v>
      </c>
      <c r="D81" s="65">
        <f>IFERROR((D79+D80)/D89,0)</f>
        <v>16.07</v>
      </c>
    </row>
    <row r="82" customHeight="1" spans="1:4">
      <c r="A82" s="57" t="s">
        <v>150</v>
      </c>
      <c r="B82" s="58"/>
      <c r="C82" s="59" t="s">
        <v>19</v>
      </c>
      <c r="D82" s="60">
        <f>D70+D81</f>
        <v>56.5324925418569</v>
      </c>
    </row>
    <row r="83" customHeight="1" spans="1:3">
      <c r="A83" s="44"/>
      <c r="B83" s="44"/>
      <c r="C83" s="44"/>
    </row>
    <row r="84" customHeight="1" spans="1:3">
      <c r="A84" s="44"/>
      <c r="B84" s="44"/>
      <c r="C84" s="44"/>
    </row>
    <row r="85" customHeight="1" spans="1:4">
      <c r="A85" s="41" t="s">
        <v>151</v>
      </c>
      <c r="B85" s="42"/>
      <c r="C85" s="42"/>
      <c r="D85" s="43"/>
    </row>
    <row r="86" customHeight="1" spans="1:4">
      <c r="A86" s="39" t="s">
        <v>152</v>
      </c>
      <c r="B86" s="44" t="s">
        <v>153</v>
      </c>
      <c r="C86" s="44" t="s">
        <v>94</v>
      </c>
      <c r="D86" s="45">
        <v>50</v>
      </c>
    </row>
    <row r="87" customHeight="1" spans="1:4">
      <c r="A87" s="39" t="s">
        <v>154</v>
      </c>
      <c r="B87" s="44" t="s">
        <v>155</v>
      </c>
      <c r="C87" s="44" t="s">
        <v>94</v>
      </c>
      <c r="D87" s="45">
        <v>10</v>
      </c>
    </row>
    <row r="88" customHeight="1" spans="1:4">
      <c r="A88" s="39" t="s">
        <v>156</v>
      </c>
      <c r="B88" s="44"/>
      <c r="C88" s="62" t="s">
        <v>19</v>
      </c>
      <c r="D88" s="64">
        <f>D86+D87</f>
        <v>60</v>
      </c>
    </row>
    <row r="89" customHeight="1" spans="1:4">
      <c r="A89" s="57" t="s">
        <v>157</v>
      </c>
      <c r="B89" s="58"/>
      <c r="C89" s="58" t="s">
        <v>94</v>
      </c>
      <c r="D89" s="66">
        <v>20000</v>
      </c>
    </row>
    <row r="90" customHeight="1" spans="1:4">
      <c r="A90" s="44"/>
      <c r="B90" s="44"/>
      <c r="C90" s="44"/>
      <c r="D90" s="67"/>
    </row>
    <row r="91" customHeight="1" spans="1:4">
      <c r="A91" s="44"/>
      <c r="B91" s="44"/>
      <c r="C91" s="44"/>
      <c r="D91" s="67"/>
    </row>
    <row r="92" customHeight="1" spans="1:4">
      <c r="A92" s="41" t="s">
        <v>158</v>
      </c>
      <c r="B92" s="42"/>
      <c r="C92" s="42"/>
      <c r="D92" s="68"/>
    </row>
    <row r="93" customHeight="1" spans="1:4">
      <c r="A93" s="39" t="s">
        <v>159</v>
      </c>
      <c r="B93" s="44" t="s">
        <v>160</v>
      </c>
      <c r="C93" s="44"/>
      <c r="D93" s="65">
        <f>D44</f>
        <v>34.1224925418569</v>
      </c>
    </row>
    <row r="94" customHeight="1" spans="1:4">
      <c r="A94" s="57" t="s">
        <v>161</v>
      </c>
      <c r="B94" s="58" t="s">
        <v>162</v>
      </c>
      <c r="C94" s="58"/>
      <c r="D94" s="60">
        <f>D93+D81+D69+D57</f>
        <v>56.5324925418569</v>
      </c>
    </row>
    <row r="95" customHeight="1" spans="1:4">
      <c r="A95" s="39" t="s">
        <v>163</v>
      </c>
      <c r="B95" s="44" t="s">
        <v>164</v>
      </c>
      <c r="C95" s="44"/>
      <c r="D95" s="65">
        <f>D88*(D89*(1-D48))</f>
        <v>1140000</v>
      </c>
    </row>
    <row r="96" customHeight="1" spans="1:4">
      <c r="A96" s="39" t="s">
        <v>165</v>
      </c>
      <c r="B96" s="44" t="s">
        <v>166</v>
      </c>
      <c r="C96" s="44"/>
      <c r="D96" s="63">
        <f>D89*D48</f>
        <v>1000</v>
      </c>
    </row>
    <row r="97" customHeight="1" spans="1:4">
      <c r="A97" s="39" t="s">
        <v>167</v>
      </c>
      <c r="B97" s="44" t="s">
        <v>168</v>
      </c>
      <c r="C97" s="44"/>
      <c r="D97" s="65">
        <f>D96*D51*D88</f>
        <v>48000</v>
      </c>
    </row>
    <row r="98" customHeight="1" spans="1:4">
      <c r="A98" s="39" t="s">
        <v>169</v>
      </c>
      <c r="B98" s="44" t="s">
        <v>170</v>
      </c>
      <c r="C98" s="44"/>
      <c r="D98" s="65">
        <f>D95+D97</f>
        <v>1188000</v>
      </c>
    </row>
    <row r="99" customHeight="1" spans="1:4">
      <c r="A99" s="39" t="s">
        <v>171</v>
      </c>
      <c r="B99" s="44" t="s">
        <v>172</v>
      </c>
      <c r="C99" s="44"/>
      <c r="D99" s="65">
        <f>D94*D89</f>
        <v>1130649.85083714</v>
      </c>
    </row>
    <row r="100" customHeight="1" spans="1:4">
      <c r="A100" s="39" t="s">
        <v>173</v>
      </c>
      <c r="B100" s="44"/>
      <c r="C100" s="44"/>
      <c r="D100" s="65">
        <f>D98-D99</f>
        <v>57350.1491628613</v>
      </c>
    </row>
    <row r="101" customHeight="1" spans="1:4">
      <c r="A101" s="57" t="s">
        <v>174</v>
      </c>
      <c r="B101" s="58"/>
      <c r="C101" s="58"/>
      <c r="D101" s="69">
        <f>IFERROR(D100/D98,0)</f>
        <v>0.0482745363323748</v>
      </c>
    </row>
    <row r="102" customHeight="1" spans="1:4">
      <c r="A102" s="44"/>
      <c r="B102" s="44"/>
      <c r="C102" s="44"/>
      <c r="D102" s="47"/>
    </row>
    <row r="103" customHeight="1" spans="1:4">
      <c r="A103" s="44"/>
      <c r="B103" s="44"/>
      <c r="C103" s="44"/>
      <c r="D103" s="47"/>
    </row>
    <row r="104" customHeight="1" spans="1:4">
      <c r="A104" s="41" t="s">
        <v>175</v>
      </c>
      <c r="B104" s="42"/>
      <c r="C104" s="42"/>
      <c r="D104" s="70"/>
    </row>
    <row r="105" customHeight="1" spans="1:4">
      <c r="A105" s="71" t="s">
        <v>176</v>
      </c>
      <c r="B105" s="72"/>
      <c r="C105" s="72"/>
      <c r="D105" s="64">
        <f t="shared" ref="D105:D106" si="0">D3</f>
        <v>20</v>
      </c>
    </row>
    <row r="106" customHeight="1" spans="1:4">
      <c r="A106" s="71" t="s">
        <v>177</v>
      </c>
      <c r="B106" s="72"/>
      <c r="C106" s="72"/>
      <c r="D106" s="64">
        <f t="shared" si="0"/>
        <v>2</v>
      </c>
    </row>
    <row r="107" customHeight="1" spans="1:4">
      <c r="A107" s="71" t="s">
        <v>10</v>
      </c>
      <c r="B107" s="72"/>
      <c r="C107" s="72"/>
      <c r="D107" s="64">
        <f>D8-D3-D4</f>
        <v>0.322222222222223</v>
      </c>
    </row>
    <row r="108" customHeight="1" spans="1:4">
      <c r="A108" s="71" t="s">
        <v>178</v>
      </c>
      <c r="B108" s="72"/>
      <c r="C108" s="72"/>
      <c r="D108" s="64">
        <f>D16</f>
        <v>0.183470319634703</v>
      </c>
    </row>
    <row r="109" customHeight="1" spans="1:4">
      <c r="A109" s="71" t="s">
        <v>179</v>
      </c>
      <c r="B109" s="72"/>
      <c r="C109" s="72"/>
      <c r="D109" s="64">
        <f>D42</f>
        <v>1.74</v>
      </c>
    </row>
    <row r="110" customHeight="1" spans="1:4">
      <c r="A110" s="71" t="s">
        <v>180</v>
      </c>
      <c r="B110" s="72"/>
      <c r="C110" s="72"/>
      <c r="D110" s="64">
        <f>D41</f>
        <v>9.8768</v>
      </c>
    </row>
    <row r="111" customHeight="1" spans="1:4">
      <c r="A111" s="71" t="s">
        <v>81</v>
      </c>
      <c r="B111" s="72"/>
      <c r="C111" s="72"/>
      <c r="D111" s="64">
        <f>D43</f>
        <v>0</v>
      </c>
    </row>
    <row r="112" customHeight="1" spans="1:4">
      <c r="A112" s="71" t="s">
        <v>181</v>
      </c>
      <c r="B112" s="72"/>
      <c r="C112" s="72"/>
      <c r="D112" s="64">
        <f>D57</f>
        <v>0.74</v>
      </c>
    </row>
    <row r="113" customHeight="1" spans="1:4">
      <c r="A113" s="71" t="s">
        <v>182</v>
      </c>
      <c r="B113" s="72"/>
      <c r="C113" s="72"/>
      <c r="D113" s="64">
        <f>D69</f>
        <v>5.6</v>
      </c>
    </row>
    <row r="114" customHeight="1" spans="1:4">
      <c r="A114" s="71" t="s">
        <v>183</v>
      </c>
      <c r="B114" s="72"/>
      <c r="C114" s="72"/>
      <c r="D114" s="64">
        <f>D81</f>
        <v>16.07</v>
      </c>
    </row>
    <row r="115" customHeight="1" spans="1:4">
      <c r="A115" s="73" t="s">
        <v>184</v>
      </c>
      <c r="B115" s="74"/>
      <c r="C115" s="74"/>
      <c r="D115" s="75">
        <f>D88-D94</f>
        <v>3.46750745814307</v>
      </c>
    </row>
    <row r="116" customHeight="1" spans="1:3">
      <c r="A116" s="44"/>
      <c r="B116" s="44"/>
      <c r="C116" s="44"/>
    </row>
    <row r="117" customHeight="1" spans="1:3">
      <c r="A117" s="44"/>
      <c r="B117" s="44"/>
      <c r="C117" s="44"/>
    </row>
    <row r="118" customHeight="1" spans="1:4">
      <c r="A118" s="53" t="s">
        <v>185</v>
      </c>
      <c r="B118" s="55" t="s">
        <v>186</v>
      </c>
      <c r="C118" s="54"/>
      <c r="D118" s="76"/>
    </row>
    <row r="119" customHeight="1" spans="1:4">
      <c r="A119" s="58"/>
      <c r="B119" s="58"/>
      <c r="C119" s="58"/>
      <c r="D119" s="77"/>
    </row>
    <row r="120" customHeight="1" spans="1:3">
      <c r="A120" s="44"/>
      <c r="B120" s="44"/>
      <c r="C120" s="44"/>
    </row>
    <row r="121" customHeight="1" spans="1:3">
      <c r="A121" s="44"/>
      <c r="B121" s="44"/>
      <c r="C121" s="44"/>
    </row>
    <row r="122" customHeight="1" spans="1:4">
      <c r="A122" s="53" t="s">
        <v>187</v>
      </c>
      <c r="B122" s="78" t="s">
        <v>188</v>
      </c>
      <c r="C122" s="54"/>
      <c r="D122" s="76"/>
    </row>
    <row r="123" customHeight="1" spans="1:3">
      <c r="A123" s="44"/>
      <c r="B123" s="79" t="s">
        <v>189</v>
      </c>
      <c r="C123" s="44"/>
    </row>
    <row r="124" customHeight="1" spans="1:3">
      <c r="A124" s="44"/>
      <c r="B124" s="79" t="s">
        <v>190</v>
      </c>
      <c r="C124" s="44"/>
    </row>
    <row r="125" customHeight="1" spans="1:3">
      <c r="A125" s="44"/>
      <c r="B125" s="79" t="s">
        <v>191</v>
      </c>
      <c r="C125" s="44"/>
    </row>
    <row r="126" customHeight="1" spans="1:3">
      <c r="A126" s="44"/>
      <c r="B126" s="79" t="s">
        <v>192</v>
      </c>
      <c r="C126" s="44"/>
    </row>
    <row r="127" customHeight="1" spans="1:3">
      <c r="A127" s="44"/>
      <c r="B127" s="79" t="s">
        <v>193</v>
      </c>
      <c r="C127" s="44"/>
    </row>
    <row r="128" customHeight="1" spans="1:4">
      <c r="A128" s="58"/>
      <c r="B128" s="80" t="s">
        <v>194</v>
      </c>
      <c r="C128" s="58"/>
      <c r="D128" s="77"/>
    </row>
  </sheetData>
  <hyperlinks>
    <hyperlink ref="A1" r:id="rId1" display="Framework's Cost Model"/>
    <hyperlink ref="B122" r:id="rId1" display="https://community.frame.work/t/calculating-the-full-cost-of-a-hardware-product/163"/>
    <hyperlink ref="B123" r:id="rId2" display="https://medium.com/@BenEinstein/will-your-hardware-startup-make-money-677a8e6c665b"/>
    <hyperlink ref="B124" r:id="rId3" display="https://gsuite.google.com/marketplace/app/dragon_standard_bom/499121254478?pann=cwsdp&amp;hl=en"/>
    <hyperlink ref="B125" r:id="rId4" display="https://www.onpallet.com/"/>
    <hyperlink ref="B126" r:id="rId5" display="https://www.freightos.com/"/>
    <hyperlink ref="B127" r:id="rId6" display="https://carbonfund.org/take-action/businesses/business-calculators"/>
    <hyperlink ref="B128" r:id="rId7" display="https://stripe.com/pricin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7"/>
  <sheetViews>
    <sheetView tabSelected="1" workbookViewId="0">
      <pane xSplit="1" topLeftCell="B1" activePane="topRight" state="frozen"/>
      <selection/>
      <selection pane="topRight" activeCell="K9" sqref="K9"/>
    </sheetView>
  </sheetViews>
  <sheetFormatPr defaultColWidth="14.4296875" defaultRowHeight="15" customHeight="1"/>
  <cols>
    <col min="1" max="1" width="24.4296875" customWidth="1"/>
    <col min="2" max="2" width="26.1328125" customWidth="1"/>
    <col min="3" max="3" width="21.7109375" customWidth="1"/>
    <col min="4" max="4" width="30.7109375" customWidth="1"/>
    <col min="5" max="5" width="10.5703125" customWidth="1"/>
    <col min="6" max="6" width="26" customWidth="1"/>
    <col min="7" max="7" width="10.8671875" customWidth="1"/>
    <col min="8" max="8" width="12" customWidth="1"/>
    <col min="9" max="9" width="15.7109375" customWidth="1"/>
    <col min="10" max="11" width="13.7109375" customWidth="1"/>
    <col min="12" max="12" width="31.4296875" customWidth="1"/>
    <col min="13" max="13" width="13" customWidth="1"/>
    <col min="14" max="14" width="13.2890625" customWidth="1"/>
    <col min="15" max="16" width="20.2890625" customWidth="1"/>
  </cols>
  <sheetData>
    <row r="1" ht="34" spans="1:16">
      <c r="A1" s="9" t="s">
        <v>195</v>
      </c>
      <c r="B1" s="10"/>
      <c r="C1" s="10"/>
      <c r="D1" s="17" t="s">
        <v>196</v>
      </c>
      <c r="E1" s="10"/>
      <c r="F1" s="28"/>
      <c r="G1" s="29" t="s">
        <v>197</v>
      </c>
      <c r="H1" s="29" t="s">
        <v>198</v>
      </c>
      <c r="I1" s="29" t="s">
        <v>199</v>
      </c>
      <c r="J1" s="29" t="s">
        <v>200</v>
      </c>
      <c r="K1" s="29" t="s">
        <v>201</v>
      </c>
      <c r="L1" s="10"/>
      <c r="M1" s="10"/>
      <c r="N1" s="10"/>
      <c r="O1" s="10"/>
      <c r="P1" s="10"/>
    </row>
    <row r="2" ht="17" spans="1:16">
      <c r="A2" s="9" t="s">
        <v>202</v>
      </c>
      <c r="B2" s="10"/>
      <c r="C2" s="10"/>
      <c r="E2" s="10"/>
      <c r="F2" s="30" t="s">
        <v>203</v>
      </c>
      <c r="G2" s="31">
        <f t="shared" ref="G2:H2" si="0">SUM(G7,G15,G27)</f>
        <v>59.738</v>
      </c>
      <c r="H2" s="31">
        <f t="shared" si="0"/>
        <v>49350</v>
      </c>
      <c r="I2" s="31"/>
      <c r="J2" s="31">
        <f t="shared" ref="J2:K2" si="1">SUM(J7,J15,J27)</f>
        <v>66.238</v>
      </c>
      <c r="K2" s="31">
        <f t="shared" si="1"/>
        <v>55850</v>
      </c>
      <c r="L2" s="10"/>
      <c r="M2" s="10"/>
      <c r="N2" s="10"/>
      <c r="O2" s="10"/>
      <c r="P2" s="10"/>
    </row>
    <row r="3" ht="17" spans="1:16">
      <c r="A3" s="9" t="s">
        <v>204</v>
      </c>
      <c r="B3" s="10"/>
      <c r="C3" s="10"/>
      <c r="E3" s="10"/>
      <c r="F3" s="10"/>
      <c r="G3" s="11"/>
      <c r="H3" s="11"/>
      <c r="I3" s="11"/>
      <c r="J3" s="11"/>
      <c r="K3" s="11"/>
      <c r="L3" s="10"/>
      <c r="M3" s="10"/>
      <c r="N3" s="10"/>
      <c r="O3" s="10"/>
      <c r="P3" s="10"/>
    </row>
    <row r="4" ht="17" spans="1:16">
      <c r="A4" s="9" t="s">
        <v>205</v>
      </c>
      <c r="B4" s="10"/>
      <c r="C4" s="10"/>
      <c r="E4" s="10"/>
      <c r="F4" s="10"/>
      <c r="G4" s="11"/>
      <c r="H4" s="11"/>
      <c r="I4" s="11"/>
      <c r="J4" s="11"/>
      <c r="K4" s="11"/>
      <c r="L4" s="10"/>
      <c r="M4" s="10"/>
      <c r="N4" s="10"/>
      <c r="O4" s="10"/>
      <c r="P4" s="10"/>
    </row>
    <row r="5" ht="17" spans="1:16">
      <c r="A5" s="9" t="s">
        <v>206</v>
      </c>
      <c r="B5" s="10"/>
      <c r="C5" s="10"/>
      <c r="E5" s="10"/>
      <c r="F5" s="10"/>
      <c r="G5" s="11"/>
      <c r="H5" s="11"/>
      <c r="I5" s="11"/>
      <c r="J5" s="11"/>
      <c r="K5" s="11"/>
      <c r="L5" s="10"/>
      <c r="M5" s="10"/>
      <c r="N5" s="10"/>
      <c r="O5" s="10"/>
      <c r="P5" s="10"/>
    </row>
    <row r="6" ht="17" spans="1:16">
      <c r="A6" s="9" t="s">
        <v>207</v>
      </c>
      <c r="B6" s="10"/>
      <c r="C6" s="10"/>
      <c r="D6" s="10"/>
      <c r="E6" s="10"/>
      <c r="F6" s="10"/>
      <c r="G6" s="11"/>
      <c r="H6" s="11"/>
      <c r="I6" s="11"/>
      <c r="J6" s="11"/>
      <c r="K6" s="11"/>
      <c r="L6" s="10"/>
      <c r="M6" s="10"/>
      <c r="N6" s="10"/>
      <c r="O6" s="10"/>
      <c r="P6" s="10"/>
    </row>
    <row r="7" ht="17" spans="1:16">
      <c r="A7" s="12" t="s">
        <v>208</v>
      </c>
      <c r="B7" s="18" t="s">
        <v>209</v>
      </c>
      <c r="C7" s="12"/>
      <c r="D7" s="12"/>
      <c r="E7" s="12"/>
      <c r="F7" s="12"/>
      <c r="G7" s="14">
        <f>SUM(G9:G14)</f>
        <v>59.31</v>
      </c>
      <c r="H7" s="14">
        <f>SUM(H9:H14)</f>
        <v>49350</v>
      </c>
      <c r="I7" s="14"/>
      <c r="J7" s="14">
        <f>SUM(J9:J14)</f>
        <v>65.81</v>
      </c>
      <c r="K7" s="14">
        <f>SUM(K9:K14)</f>
        <v>55850</v>
      </c>
      <c r="L7" s="12"/>
      <c r="M7" s="12"/>
      <c r="N7" s="12"/>
      <c r="O7" s="12">
        <f>SUM(O9:O18)</f>
        <v>204.42</v>
      </c>
      <c r="P7" s="12">
        <f>SUM(P9:P18)</f>
        <v>514.3</v>
      </c>
    </row>
    <row r="8" ht="34" spans="1:16">
      <c r="A8" s="12" t="s">
        <v>210</v>
      </c>
      <c r="B8" s="12" t="s">
        <v>1</v>
      </c>
      <c r="C8" s="12" t="s">
        <v>211</v>
      </c>
      <c r="D8" s="12" t="s">
        <v>212</v>
      </c>
      <c r="E8" s="12" t="s">
        <v>213</v>
      </c>
      <c r="F8" s="12" t="s">
        <v>214</v>
      </c>
      <c r="G8" s="14" t="s">
        <v>197</v>
      </c>
      <c r="H8" s="14" t="s">
        <v>198</v>
      </c>
      <c r="I8" s="14" t="s">
        <v>199</v>
      </c>
      <c r="J8" s="14" t="s">
        <v>200</v>
      </c>
      <c r="K8" s="14" t="s">
        <v>201</v>
      </c>
      <c r="L8" s="12" t="s">
        <v>215</v>
      </c>
      <c r="M8" s="12" t="s">
        <v>216</v>
      </c>
      <c r="N8" s="12" t="s">
        <v>217</v>
      </c>
      <c r="O8" s="12" t="s">
        <v>218</v>
      </c>
      <c r="P8" s="12" t="s">
        <v>219</v>
      </c>
    </row>
    <row r="9" ht="17" spans="1:16">
      <c r="A9" s="10" t="s">
        <v>220</v>
      </c>
      <c r="B9" s="10" t="s">
        <v>221</v>
      </c>
      <c r="C9" s="10" t="s">
        <v>222</v>
      </c>
      <c r="D9" s="19" t="s">
        <v>223</v>
      </c>
      <c r="E9" s="10" t="s">
        <v>224</v>
      </c>
      <c r="F9" s="19" t="s">
        <v>225</v>
      </c>
      <c r="G9" s="11">
        <v>7.28</v>
      </c>
      <c r="H9" s="11">
        <v>6200</v>
      </c>
      <c r="I9" s="11">
        <v>1</v>
      </c>
      <c r="J9" s="11">
        <v>7.28</v>
      </c>
      <c r="K9" s="11">
        <v>6200</v>
      </c>
      <c r="L9" s="10"/>
      <c r="M9" s="10" t="s">
        <v>226</v>
      </c>
      <c r="N9" s="19" t="s">
        <v>227</v>
      </c>
      <c r="O9" s="19">
        <v>200</v>
      </c>
      <c r="P9" s="19">
        <v>500</v>
      </c>
    </row>
    <row r="10" ht="17" spans="1:16">
      <c r="A10" s="10" t="s">
        <v>228</v>
      </c>
      <c r="B10" s="10" t="s">
        <v>229</v>
      </c>
      <c r="C10" s="10" t="s">
        <v>230</v>
      </c>
      <c r="D10" s="20">
        <v>2472</v>
      </c>
      <c r="E10" s="10" t="s">
        <v>231</v>
      </c>
      <c r="F10" s="10" t="s">
        <v>232</v>
      </c>
      <c r="G10" s="11">
        <v>34.95</v>
      </c>
      <c r="H10" s="11">
        <v>27960</v>
      </c>
      <c r="I10" s="11">
        <v>1</v>
      </c>
      <c r="J10" s="11">
        <v>34.95</v>
      </c>
      <c r="K10" s="11">
        <v>27960</v>
      </c>
      <c r="L10" s="10"/>
      <c r="M10" s="10" t="s">
        <v>233</v>
      </c>
      <c r="N10" s="10" t="s">
        <v>234</v>
      </c>
      <c r="O10" s="10">
        <v>2.72</v>
      </c>
      <c r="P10" s="10">
        <v>12.3</v>
      </c>
    </row>
    <row r="11" ht="17" spans="1:16">
      <c r="A11" s="10" t="s">
        <v>235</v>
      </c>
      <c r="B11" s="10" t="s">
        <v>236</v>
      </c>
      <c r="C11" s="10" t="s">
        <v>224</v>
      </c>
      <c r="D11" s="10" t="s">
        <v>237</v>
      </c>
      <c r="E11" s="10" t="s">
        <v>224</v>
      </c>
      <c r="F11" s="10" t="s">
        <v>238</v>
      </c>
      <c r="G11" s="11">
        <v>6.5</v>
      </c>
      <c r="H11" s="11">
        <v>6500</v>
      </c>
      <c r="I11" s="11">
        <v>2</v>
      </c>
      <c r="J11" s="11">
        <v>13</v>
      </c>
      <c r="K11" s="11">
        <v>13000</v>
      </c>
      <c r="L11" s="10"/>
      <c r="M11" s="10"/>
      <c r="N11" s="10"/>
      <c r="O11" s="10">
        <v>1</v>
      </c>
      <c r="P11" s="10">
        <v>1</v>
      </c>
    </row>
    <row r="12" ht="34" spans="1:16">
      <c r="A12" s="10" t="s">
        <v>239</v>
      </c>
      <c r="B12" s="10" t="s">
        <v>240</v>
      </c>
      <c r="C12" s="10" t="s">
        <v>224</v>
      </c>
      <c r="D12" s="10" t="s">
        <v>241</v>
      </c>
      <c r="E12" s="10" t="s">
        <v>224</v>
      </c>
      <c r="F12" s="10" t="s">
        <v>242</v>
      </c>
      <c r="G12" s="11">
        <v>4.03</v>
      </c>
      <c r="H12" s="11">
        <v>2760</v>
      </c>
      <c r="I12" s="11">
        <v>1</v>
      </c>
      <c r="J12" s="11">
        <v>4.03</v>
      </c>
      <c r="K12" s="11">
        <v>2760</v>
      </c>
      <c r="L12" s="10"/>
      <c r="M12" s="10" t="s">
        <v>243</v>
      </c>
      <c r="N12" s="10" t="s">
        <v>234</v>
      </c>
      <c r="O12" s="10">
        <v>0.7</v>
      </c>
      <c r="P12" s="10">
        <v>1</v>
      </c>
    </row>
    <row r="13" ht="17.6" spans="1:16">
      <c r="A13" s="10" t="s">
        <v>244</v>
      </c>
      <c r="B13" s="10" t="s">
        <v>245</v>
      </c>
      <c r="C13" s="10" t="s">
        <v>224</v>
      </c>
      <c r="D13" s="10" t="s">
        <v>246</v>
      </c>
      <c r="E13" s="10" t="s">
        <v>224</v>
      </c>
      <c r="F13" s="32" t="s">
        <v>247</v>
      </c>
      <c r="G13" s="11">
        <v>6.55</v>
      </c>
      <c r="H13" s="11">
        <v>5930</v>
      </c>
      <c r="I13" s="11">
        <v>1</v>
      </c>
      <c r="J13" s="11">
        <v>6.55</v>
      </c>
      <c r="K13" s="11">
        <v>5930</v>
      </c>
      <c r="L13" s="10"/>
      <c r="M13" s="10" t="s">
        <v>248</v>
      </c>
      <c r="N13" s="10" t="s">
        <v>249</v>
      </c>
      <c r="O13" s="10"/>
      <c r="P13" s="10"/>
    </row>
    <row r="14" ht="16.8" spans="1:16">
      <c r="A14" s="10"/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0"/>
      <c r="M14" s="10"/>
      <c r="N14" s="10"/>
      <c r="O14" s="10"/>
      <c r="P14" s="10"/>
    </row>
    <row r="15" ht="34" spans="1:16">
      <c r="A15" s="21" t="s">
        <v>250</v>
      </c>
      <c r="B15" s="22" t="s">
        <v>251</v>
      </c>
      <c r="C15" s="21"/>
      <c r="D15" s="21"/>
      <c r="E15" s="21"/>
      <c r="F15" s="21"/>
      <c r="G15" s="33">
        <f>SUM(G17:G20)</f>
        <v>0.428</v>
      </c>
      <c r="H15" s="33">
        <f>SUM(H17:H20)</f>
        <v>0</v>
      </c>
      <c r="I15" s="33"/>
      <c r="J15" s="33">
        <f>SUM(J17:J20)</f>
        <v>0.428</v>
      </c>
      <c r="K15" s="33">
        <f>SUM(K17:K20)</f>
        <v>0</v>
      </c>
      <c r="L15" s="21"/>
      <c r="M15" s="21"/>
      <c r="N15" s="21"/>
      <c r="O15" s="21"/>
      <c r="P15" s="21"/>
    </row>
    <row r="16" ht="34" spans="1:16">
      <c r="A16" s="21" t="s">
        <v>252</v>
      </c>
      <c r="B16" s="21" t="s">
        <v>1</v>
      </c>
      <c r="C16" s="21" t="s">
        <v>211</v>
      </c>
      <c r="D16" s="23" t="s">
        <v>212</v>
      </c>
      <c r="E16" s="23" t="s">
        <v>213</v>
      </c>
      <c r="F16" s="23" t="s">
        <v>214</v>
      </c>
      <c r="G16" s="33" t="s">
        <v>197</v>
      </c>
      <c r="H16" s="33" t="s">
        <v>198</v>
      </c>
      <c r="I16" s="33" t="s">
        <v>199</v>
      </c>
      <c r="J16" s="33" t="s">
        <v>200</v>
      </c>
      <c r="K16" s="33" t="s">
        <v>201</v>
      </c>
      <c r="L16" s="21" t="s">
        <v>215</v>
      </c>
      <c r="M16" s="21"/>
      <c r="N16" s="21"/>
      <c r="O16" s="21"/>
      <c r="P16" s="21"/>
    </row>
    <row r="17" ht="16.8" spans="1:10">
      <c r="A17" t="s">
        <v>253</v>
      </c>
      <c r="B17" t="s">
        <v>254</v>
      </c>
      <c r="C17" t="s">
        <v>255</v>
      </c>
      <c r="D17" t="s">
        <v>256</v>
      </c>
      <c r="E17" t="s">
        <v>255</v>
      </c>
      <c r="F17" t="s">
        <v>256</v>
      </c>
      <c r="G17" s="34">
        <f>21.4/50</f>
        <v>0.428</v>
      </c>
      <c r="J17" s="34">
        <f>21.4/50</f>
        <v>0.428</v>
      </c>
    </row>
    <row r="18" ht="15.75" customHeight="1" spans="2:2">
      <c r="B18" t="s">
        <v>257</v>
      </c>
    </row>
    <row r="19" ht="15.75" customHeight="1"/>
    <row r="20" ht="15.75" customHeight="1"/>
    <row r="21" ht="34" spans="1:16">
      <c r="A21" s="24" t="s">
        <v>258</v>
      </c>
      <c r="B21" s="25" t="s">
        <v>259</v>
      </c>
      <c r="C21" s="24"/>
      <c r="D21" s="24"/>
      <c r="E21" s="24"/>
      <c r="F21" s="24"/>
      <c r="G21" s="35">
        <f>SUM(G23:G26)</f>
        <v>0.96</v>
      </c>
      <c r="H21" s="35">
        <f>SUM(H23:H26)</f>
        <v>0.96</v>
      </c>
      <c r="I21" s="35"/>
      <c r="J21" s="35">
        <f>SUM(J23:J26)</f>
        <v>1.152</v>
      </c>
      <c r="K21" s="35">
        <f>SUM(K23:K26)</f>
        <v>0.96</v>
      </c>
      <c r="L21" s="24"/>
      <c r="M21" s="24"/>
      <c r="N21" s="24"/>
      <c r="O21" s="24"/>
      <c r="P21" s="24"/>
    </row>
    <row r="22" ht="34" spans="1:16">
      <c r="A22" s="24" t="s">
        <v>252</v>
      </c>
      <c r="B22" s="24" t="s">
        <v>1</v>
      </c>
      <c r="C22" s="24" t="s">
        <v>211</v>
      </c>
      <c r="D22" s="24" t="s">
        <v>260</v>
      </c>
      <c r="E22" s="24" t="s">
        <v>261</v>
      </c>
      <c r="F22" s="24" t="s">
        <v>262</v>
      </c>
      <c r="G22" s="35" t="s">
        <v>197</v>
      </c>
      <c r="H22" s="35" t="s">
        <v>198</v>
      </c>
      <c r="I22" s="35" t="s">
        <v>199</v>
      </c>
      <c r="J22" s="35" t="s">
        <v>200</v>
      </c>
      <c r="K22" s="35" t="s">
        <v>201</v>
      </c>
      <c r="L22" s="24" t="s">
        <v>215</v>
      </c>
      <c r="M22" s="24"/>
      <c r="N22" s="24"/>
      <c r="O22" s="24"/>
      <c r="P22" s="24"/>
    </row>
    <row r="23" ht="16.8" spans="1:11">
      <c r="A23" t="s">
        <v>263</v>
      </c>
      <c r="B23" t="s">
        <v>264</v>
      </c>
      <c r="C23" t="s">
        <v>265</v>
      </c>
      <c r="D23" t="s">
        <v>266</v>
      </c>
      <c r="E23">
        <v>0.15</v>
      </c>
      <c r="F23" s="36">
        <f>'Materials and Cost Drivers'!D14</f>
        <v>3</v>
      </c>
      <c r="G23" s="34">
        <f>E23*F23</f>
        <v>0.45</v>
      </c>
      <c r="H23" s="34">
        <f>E23*F23</f>
        <v>0.45</v>
      </c>
      <c r="I23">
        <v>1</v>
      </c>
      <c r="J23" s="34">
        <f>I23*G23*'Materials and Cost Drivers'!$D$38</f>
        <v>0.54</v>
      </c>
      <c r="K23" s="34">
        <f>I23*H23</f>
        <v>0.45</v>
      </c>
    </row>
    <row r="24" ht="16.8" spans="1:11">
      <c r="A24" t="s">
        <v>267</v>
      </c>
      <c r="B24" t="s">
        <v>268</v>
      </c>
      <c r="C24" t="s">
        <v>265</v>
      </c>
      <c r="D24" t="s">
        <v>266</v>
      </c>
      <c r="E24">
        <v>0.17</v>
      </c>
      <c r="F24" s="36">
        <f>'Materials and Cost Drivers'!D14</f>
        <v>3</v>
      </c>
      <c r="G24" s="34">
        <f>E24*F24</f>
        <v>0.51</v>
      </c>
      <c r="H24" s="34">
        <f>E24*F24</f>
        <v>0.51</v>
      </c>
      <c r="I24">
        <v>1</v>
      </c>
      <c r="J24" s="34">
        <f>I24*G24*'Materials and Cost Drivers'!$D$38</f>
        <v>0.612</v>
      </c>
      <c r="K24" s="34">
        <f>I24*H24</f>
        <v>0.51</v>
      </c>
    </row>
    <row r="25" ht="15.75" customHeight="1"/>
    <row r="26" ht="15.75" customHeight="1"/>
    <row r="27" ht="17" spans="1:16">
      <c r="A27" s="26" t="s">
        <v>269</v>
      </c>
      <c r="B27" s="27" t="s">
        <v>270</v>
      </c>
      <c r="C27" s="26"/>
      <c r="D27" s="26"/>
      <c r="E27" s="26"/>
      <c r="F27" s="26"/>
      <c r="G27" s="37">
        <f t="shared" ref="G27:H27" si="2">SUM(G29:G40)</f>
        <v>0</v>
      </c>
      <c r="H27" s="37">
        <f t="shared" si="2"/>
        <v>0</v>
      </c>
      <c r="I27" s="37"/>
      <c r="J27" s="37">
        <f t="shared" ref="J27:K27" si="3">SUM(J29:J40)</f>
        <v>0</v>
      </c>
      <c r="K27" s="37">
        <f t="shared" si="3"/>
        <v>0</v>
      </c>
      <c r="L27" s="26"/>
      <c r="M27" s="26"/>
      <c r="N27" s="26"/>
      <c r="O27" s="26"/>
      <c r="P27" s="26"/>
    </row>
    <row r="28" ht="34" spans="1:16">
      <c r="A28" s="26" t="s">
        <v>252</v>
      </c>
      <c r="B28" s="26" t="s">
        <v>1</v>
      </c>
      <c r="C28" s="26" t="s">
        <v>211</v>
      </c>
      <c r="D28" s="26" t="s">
        <v>212</v>
      </c>
      <c r="E28" s="26" t="s">
        <v>213</v>
      </c>
      <c r="F28" s="26" t="s">
        <v>214</v>
      </c>
      <c r="G28" s="37" t="s">
        <v>197</v>
      </c>
      <c r="H28" s="37" t="s">
        <v>198</v>
      </c>
      <c r="I28" s="37" t="s">
        <v>199</v>
      </c>
      <c r="J28" s="37" t="s">
        <v>200</v>
      </c>
      <c r="K28" s="37" t="s">
        <v>201</v>
      </c>
      <c r="L28" s="26" t="s">
        <v>215</v>
      </c>
      <c r="M28" s="26"/>
      <c r="N28" s="26"/>
      <c r="O28" s="26"/>
      <c r="P28" s="26"/>
    </row>
    <row r="29" ht="15.75" customHeight="1" spans="1:3">
      <c r="A29" t="s">
        <v>271</v>
      </c>
      <c r="B29" t="s">
        <v>272</v>
      </c>
      <c r="C29" t="s">
        <v>273</v>
      </c>
    </row>
    <row r="30" ht="15.75" customHeight="1" spans="1:3">
      <c r="A30" t="s">
        <v>274</v>
      </c>
      <c r="B30" t="s">
        <v>275</v>
      </c>
      <c r="C30" t="s">
        <v>273</v>
      </c>
    </row>
    <row r="31" ht="15.75" customHeight="1" spans="1:3">
      <c r="A31" t="s">
        <v>276</v>
      </c>
      <c r="B31" t="s">
        <v>277</v>
      </c>
      <c r="C31" t="s">
        <v>278</v>
      </c>
    </row>
    <row r="32" ht="15.75" customHeight="1" spans="1:3">
      <c r="A32" t="s">
        <v>279</v>
      </c>
      <c r="B32" t="s">
        <v>280</v>
      </c>
      <c r="C32" t="s">
        <v>278</v>
      </c>
    </row>
    <row r="33" ht="15.75" customHeight="1" spans="1:3">
      <c r="A33" t="s">
        <v>281</v>
      </c>
      <c r="B33" t="s">
        <v>282</v>
      </c>
      <c r="C33" t="s">
        <v>278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D1:D5"/>
  </mergeCells>
  <hyperlinks>
    <hyperlink ref="B7" r:id="rId2" display="Note: PCB assembly costing from FlexPCB. Or, approximate with a vendor like JLCPCB."/>
    <hyperlink ref="B15" r:id="rId3" display="McMaster-Carr can give you catalog component pricing, though it will be high compared to high volume pricing."/>
    <hyperlink ref="B21" r:id="rId4" display="Here's a good overview of Injection Molding cost estimates: How to Estimate Injection Molding Cost? | Formlabs &#10;The Materials and Cost Drivers tab has details on cost of materials &amp; labor that are helpful for this section.&#10;Custom part cost includes both material and processing costs."/>
    <hyperlink ref="B27" r:id="rId5" display="Note: PackMojo is one of many shipping calculators."/>
  </hyperlinks>
  <pageMargins left="0.7" right="0.7" top="0.75" bottom="0.75" header="0" footer="0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9"/>
  <sheetViews>
    <sheetView workbookViewId="0">
      <pane xSplit="1" topLeftCell="B1" activePane="topRight" state="frozen"/>
      <selection/>
      <selection pane="topRight" activeCell="G17" sqref="G17"/>
    </sheetView>
  </sheetViews>
  <sheetFormatPr defaultColWidth="14.4296875" defaultRowHeight="15" customHeight="1" outlineLevelCol="7"/>
  <cols>
    <col min="1" max="1" width="24.4296875" customWidth="1"/>
    <col min="2" max="2" width="26.1328125" customWidth="1"/>
    <col min="3" max="3" width="33.8671875" customWidth="1"/>
    <col min="4" max="4" width="30.1328125" customWidth="1"/>
    <col min="5" max="6" width="17.8671875" customWidth="1"/>
    <col min="7" max="8" width="31.4296875" customWidth="1"/>
  </cols>
  <sheetData>
    <row r="1" ht="17" spans="1:8">
      <c r="A1" s="9" t="s">
        <v>195</v>
      </c>
      <c r="B1" s="10"/>
      <c r="C1" s="10"/>
      <c r="D1" s="10"/>
      <c r="E1" s="10"/>
      <c r="F1" s="10"/>
      <c r="G1" s="10"/>
      <c r="H1" s="3"/>
    </row>
    <row r="2" ht="17" spans="1:8">
      <c r="A2" s="9" t="s">
        <v>202</v>
      </c>
      <c r="B2" s="10"/>
      <c r="C2" s="10"/>
      <c r="D2" s="10"/>
      <c r="E2" s="10"/>
      <c r="F2" s="10"/>
      <c r="G2" s="10"/>
      <c r="H2" s="3"/>
    </row>
    <row r="3" ht="17" spans="1:8">
      <c r="A3" s="9" t="s">
        <v>204</v>
      </c>
      <c r="B3" s="10"/>
      <c r="C3" s="10"/>
      <c r="D3" s="10"/>
      <c r="E3" s="10"/>
      <c r="F3" s="10"/>
      <c r="G3" s="10"/>
      <c r="H3" s="3"/>
    </row>
    <row r="4" ht="17" spans="1:8">
      <c r="A4" s="9" t="s">
        <v>205</v>
      </c>
      <c r="B4" s="10"/>
      <c r="C4" s="10"/>
      <c r="D4" s="10"/>
      <c r="E4" s="10"/>
      <c r="F4" s="10"/>
      <c r="G4" s="10"/>
      <c r="H4" s="3"/>
    </row>
    <row r="5" ht="17" spans="1:8">
      <c r="A5" s="9" t="s">
        <v>206</v>
      </c>
      <c r="B5" s="10"/>
      <c r="C5" s="10"/>
      <c r="D5" s="10"/>
      <c r="E5" s="10"/>
      <c r="F5" s="10"/>
      <c r="G5" s="10"/>
      <c r="H5" s="3"/>
    </row>
    <row r="6" ht="17" spans="1:8">
      <c r="A6" s="9" t="s">
        <v>207</v>
      </c>
      <c r="B6" s="10"/>
      <c r="C6" s="10"/>
      <c r="D6" s="11"/>
      <c r="E6" s="11"/>
      <c r="F6" s="11"/>
      <c r="G6" s="10"/>
      <c r="H6" s="3"/>
    </row>
    <row r="7" ht="17" spans="1:8">
      <c r="A7" s="12" t="s">
        <v>283</v>
      </c>
      <c r="B7" s="13"/>
      <c r="C7" s="12"/>
      <c r="D7" s="14"/>
      <c r="E7" s="14">
        <f t="shared" ref="E7:F7" si="0">SUM(E9:E17)</f>
        <v>500</v>
      </c>
      <c r="F7" s="14">
        <f t="shared" si="0"/>
        <v>6000</v>
      </c>
      <c r="G7" s="12"/>
      <c r="H7" s="15"/>
    </row>
    <row r="8" ht="17" spans="1:8">
      <c r="A8" s="12"/>
      <c r="B8" s="12" t="s">
        <v>1</v>
      </c>
      <c r="C8" s="12" t="s">
        <v>284</v>
      </c>
      <c r="D8" s="14" t="s">
        <v>285</v>
      </c>
      <c r="E8" s="14" t="s">
        <v>286</v>
      </c>
      <c r="F8" s="14" t="s">
        <v>287</v>
      </c>
      <c r="G8" s="12" t="s">
        <v>215</v>
      </c>
      <c r="H8" s="15" t="s">
        <v>288</v>
      </c>
    </row>
    <row r="9" ht="17" spans="1:8">
      <c r="A9" s="10" t="s">
        <v>289</v>
      </c>
      <c r="B9" s="10" t="s">
        <v>290</v>
      </c>
      <c r="C9" s="10" t="s">
        <v>291</v>
      </c>
      <c r="D9" s="11">
        <v>100</v>
      </c>
      <c r="E9" s="11">
        <v>500</v>
      </c>
      <c r="F9" s="11">
        <f t="shared" ref="F9:F10" si="1">12*E9</f>
        <v>6000</v>
      </c>
      <c r="G9" s="10"/>
      <c r="H9" s="16" t="s">
        <v>292</v>
      </c>
    </row>
    <row r="10" ht="16.8" spans="1:8">
      <c r="A10" s="10"/>
      <c r="B10" s="10"/>
      <c r="C10" s="10"/>
      <c r="D10" s="11"/>
      <c r="E10" s="11"/>
      <c r="F10" s="11"/>
      <c r="G10" s="10"/>
      <c r="H10" s="16"/>
    </row>
    <row r="11" ht="16.8" spans="1:8">
      <c r="A11" s="10"/>
      <c r="B11" s="10"/>
      <c r="C11" s="10"/>
      <c r="D11" s="11"/>
      <c r="E11" s="11"/>
      <c r="F11" s="11"/>
      <c r="G11" s="10"/>
      <c r="H11" s="3"/>
    </row>
    <row r="12" ht="16.8" spans="1:8">
      <c r="A12" s="10"/>
      <c r="B12" s="10"/>
      <c r="C12" s="10"/>
      <c r="D12" s="11"/>
      <c r="E12" s="11"/>
      <c r="F12" s="11"/>
      <c r="G12" s="10"/>
      <c r="H12" s="3"/>
    </row>
    <row r="13" ht="16.8" spans="1:8">
      <c r="A13" s="10"/>
      <c r="B13" s="10"/>
      <c r="C13" s="10"/>
      <c r="D13" s="11"/>
      <c r="E13" s="11"/>
      <c r="F13" s="11"/>
      <c r="G13" s="10"/>
      <c r="H13" s="3"/>
    </row>
    <row r="14" ht="16.8" spans="1:8">
      <c r="A14" s="10"/>
      <c r="B14" s="10"/>
      <c r="C14" s="10"/>
      <c r="D14" s="11"/>
      <c r="E14" s="11"/>
      <c r="F14" s="11"/>
      <c r="G14" s="10"/>
      <c r="H14" s="3"/>
    </row>
    <row r="15" ht="16.8" spans="1:8">
      <c r="A15" s="10"/>
      <c r="B15" s="10"/>
      <c r="C15" s="10"/>
      <c r="D15" s="11"/>
      <c r="E15" s="11"/>
      <c r="F15" s="11"/>
      <c r="G15" s="10"/>
      <c r="H15" s="3"/>
    </row>
    <row r="16" ht="16.8" spans="1:8">
      <c r="A16" s="10"/>
      <c r="B16" s="10"/>
      <c r="C16" s="10"/>
      <c r="D16" s="11"/>
      <c r="E16" s="11"/>
      <c r="F16" s="11"/>
      <c r="G16" s="10"/>
      <c r="H16" s="3"/>
    </row>
    <row r="17" ht="16.8" spans="1:8">
      <c r="A17" s="10"/>
      <c r="B17" s="10"/>
      <c r="C17" s="10"/>
      <c r="D17" s="11"/>
      <c r="E17" s="11"/>
      <c r="F17" s="11"/>
      <c r="G17" s="10"/>
      <c r="H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hyperlinks>
    <hyperlink ref="H9" r:id="rId1" display="https://www.wiliot.com" tooltip="https://www.wiliot.com"/>
  </hyperlink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4"/>
  <sheetViews>
    <sheetView workbookViewId="0">
      <selection activeCell="A22" sqref="A22"/>
    </sheetView>
  </sheetViews>
  <sheetFormatPr defaultColWidth="14.4296875" defaultRowHeight="15" customHeight="1" outlineLevelCol="4"/>
  <cols>
    <col min="1" max="1" width="47.4296875" customWidth="1"/>
    <col min="2" max="2" width="66.5703125" customWidth="1"/>
    <col min="3" max="3" width="18" customWidth="1"/>
    <col min="4" max="4" width="15.2890625" customWidth="1"/>
  </cols>
  <sheetData>
    <row r="1" customHeight="1" spans="1:5">
      <c r="A1" s="1" t="s">
        <v>260</v>
      </c>
      <c r="B1" s="1" t="s">
        <v>293</v>
      </c>
      <c r="C1" s="2" t="s">
        <v>294</v>
      </c>
      <c r="D1" s="2" t="s">
        <v>295</v>
      </c>
      <c r="E1" s="7"/>
    </row>
    <row r="2" customHeight="1" spans="1:5">
      <c r="A2" s="3" t="s">
        <v>296</v>
      </c>
      <c r="B2" s="3"/>
      <c r="C2" s="4">
        <v>7800</v>
      </c>
      <c r="D2" s="5">
        <v>1</v>
      </c>
      <c r="E2" s="7"/>
    </row>
    <row r="3" customHeight="1" spans="1:5">
      <c r="A3" s="3" t="s">
        <v>297</v>
      </c>
      <c r="B3" s="3"/>
      <c r="C3" s="4">
        <v>7800</v>
      </c>
      <c r="D3" s="5">
        <v>1.6</v>
      </c>
      <c r="E3" s="7"/>
    </row>
    <row r="4" customHeight="1" spans="1:5">
      <c r="A4" s="3" t="s">
        <v>298</v>
      </c>
      <c r="B4" s="3"/>
      <c r="C4" s="4">
        <v>7800</v>
      </c>
      <c r="D4" s="5">
        <v>5</v>
      </c>
      <c r="E4" s="7"/>
    </row>
    <row r="5" customHeight="1" spans="1:5">
      <c r="A5" s="3" t="s">
        <v>299</v>
      </c>
      <c r="B5" s="3"/>
      <c r="C5" s="4">
        <v>2600</v>
      </c>
      <c r="D5" s="5">
        <v>4</v>
      </c>
      <c r="E5" s="7"/>
    </row>
    <row r="6" customHeight="1" spans="1:5">
      <c r="A6" s="3" t="s">
        <v>300</v>
      </c>
      <c r="B6" s="3"/>
      <c r="C6" s="4">
        <v>1750</v>
      </c>
      <c r="D6" s="5">
        <v>6</v>
      </c>
      <c r="E6" s="7"/>
    </row>
    <row r="7" customHeight="1" spans="1:5">
      <c r="A7" s="3" t="s">
        <v>301</v>
      </c>
      <c r="B7" s="3"/>
      <c r="C7" s="4">
        <v>8900</v>
      </c>
      <c r="D7" s="5">
        <v>10</v>
      </c>
      <c r="E7" s="7"/>
    </row>
    <row r="8" customHeight="1" spans="1:5">
      <c r="A8" s="3" t="s">
        <v>302</v>
      </c>
      <c r="B8" s="3"/>
      <c r="C8" s="4">
        <v>8500</v>
      </c>
      <c r="D8" s="5">
        <v>8</v>
      </c>
      <c r="E8" s="7"/>
    </row>
    <row r="9" customHeight="1" spans="1:5">
      <c r="A9" s="3" t="s">
        <v>303</v>
      </c>
      <c r="B9" s="3"/>
      <c r="C9" s="4">
        <v>4500</v>
      </c>
      <c r="D9" s="5">
        <v>40</v>
      </c>
      <c r="E9" s="7"/>
    </row>
    <row r="10" customHeight="1" spans="1:5">
      <c r="A10" s="3"/>
      <c r="B10" s="3"/>
      <c r="C10" s="3"/>
      <c r="D10" s="3"/>
      <c r="E10" s="7"/>
    </row>
    <row r="11" customHeight="1" spans="1:5">
      <c r="A11" s="3" t="s">
        <v>304</v>
      </c>
      <c r="B11" s="3" t="s">
        <v>305</v>
      </c>
      <c r="C11" s="4">
        <v>1400</v>
      </c>
      <c r="D11" s="5">
        <v>1.4</v>
      </c>
      <c r="E11" s="7"/>
    </row>
    <row r="12" customHeight="1" spans="1:5">
      <c r="A12" s="3" t="s">
        <v>306</v>
      </c>
      <c r="B12" s="3" t="s">
        <v>307</v>
      </c>
      <c r="C12" s="4">
        <v>940</v>
      </c>
      <c r="D12" s="5">
        <v>2</v>
      </c>
      <c r="E12" s="7"/>
    </row>
    <row r="13" customHeight="1" spans="1:5">
      <c r="A13" s="3" t="s">
        <v>308</v>
      </c>
      <c r="B13" s="3" t="s">
        <v>309</v>
      </c>
      <c r="C13" s="4">
        <v>1200</v>
      </c>
      <c r="D13" s="5">
        <v>2</v>
      </c>
      <c r="E13" s="7"/>
    </row>
    <row r="14" customHeight="1" spans="1:5">
      <c r="A14" s="3" t="s">
        <v>310</v>
      </c>
      <c r="B14" s="3" t="s">
        <v>311</v>
      </c>
      <c r="C14" s="4">
        <v>1150</v>
      </c>
      <c r="D14" s="5">
        <v>3</v>
      </c>
      <c r="E14" s="7"/>
    </row>
    <row r="15" customHeight="1" spans="1:5">
      <c r="A15" s="3" t="s">
        <v>312</v>
      </c>
      <c r="B15" s="3" t="s">
        <v>313</v>
      </c>
      <c r="C15" s="4">
        <v>1200</v>
      </c>
      <c r="D15" s="5">
        <v>5</v>
      </c>
      <c r="E15" s="7"/>
    </row>
    <row r="16" customHeight="1" spans="1:5">
      <c r="A16" s="3"/>
      <c r="B16" s="3"/>
      <c r="C16" s="3"/>
      <c r="D16" s="6"/>
      <c r="E16" s="7"/>
    </row>
    <row r="17" customHeight="1" spans="1:5">
      <c r="A17" s="3" t="s">
        <v>314</v>
      </c>
      <c r="B17" s="3" t="s">
        <v>315</v>
      </c>
      <c r="C17" s="4">
        <v>2000</v>
      </c>
      <c r="D17" s="5">
        <v>20</v>
      </c>
      <c r="E17" s="7"/>
    </row>
    <row r="18" customHeight="1" spans="1:5">
      <c r="A18" s="3"/>
      <c r="B18" s="3"/>
      <c r="C18" s="3"/>
      <c r="D18" s="6"/>
      <c r="E18" s="7"/>
    </row>
    <row r="19" customHeight="1" spans="1:5">
      <c r="A19" s="3" t="s">
        <v>316</v>
      </c>
      <c r="B19" s="3"/>
      <c r="C19" s="4">
        <v>1050</v>
      </c>
      <c r="D19" s="5">
        <v>10</v>
      </c>
      <c r="E19" s="7"/>
    </row>
    <row r="20" customHeight="1" spans="1:5">
      <c r="A20" s="3"/>
      <c r="B20" s="3"/>
      <c r="C20" s="3"/>
      <c r="D20" s="6"/>
      <c r="E20" s="7"/>
    </row>
    <row r="21" customHeight="1" spans="1:5">
      <c r="A21" s="3" t="s">
        <v>317</v>
      </c>
      <c r="B21" s="3" t="s">
        <v>318</v>
      </c>
      <c r="C21" s="4">
        <v>900</v>
      </c>
      <c r="D21" s="5">
        <v>1.25</v>
      </c>
      <c r="E21" s="7"/>
    </row>
    <row r="22" customHeight="1" spans="1:5">
      <c r="A22" s="3" t="s">
        <v>319</v>
      </c>
      <c r="B22" s="3" t="s">
        <v>320</v>
      </c>
      <c r="C22" s="4">
        <v>700</v>
      </c>
      <c r="D22" s="5">
        <v>1.25</v>
      </c>
      <c r="E22" s="7"/>
    </row>
    <row r="23" customHeight="1" spans="1:5">
      <c r="A23" s="3"/>
      <c r="B23" s="3"/>
      <c r="C23" s="3"/>
      <c r="D23" s="6"/>
      <c r="E23" s="7"/>
    </row>
    <row r="24" customHeight="1" spans="1:5">
      <c r="A24" s="3"/>
      <c r="B24" s="3"/>
      <c r="C24" s="3"/>
      <c r="D24" s="3"/>
      <c r="E24" s="7"/>
    </row>
    <row r="25" customHeight="1" spans="1:5">
      <c r="A25" s="3" t="s">
        <v>321</v>
      </c>
      <c r="B25" s="3"/>
      <c r="C25" s="4">
        <v>500</v>
      </c>
      <c r="D25" s="5">
        <v>0.3</v>
      </c>
      <c r="E25" s="7"/>
    </row>
    <row r="26" customHeight="1" spans="1:5">
      <c r="A26" s="3" t="s">
        <v>322</v>
      </c>
      <c r="B26" s="3"/>
      <c r="C26" s="4">
        <v>600</v>
      </c>
      <c r="D26" s="5">
        <v>1</v>
      </c>
      <c r="E26" s="7"/>
    </row>
    <row r="27" customHeight="1" spans="1:5">
      <c r="A27" s="3"/>
      <c r="B27" s="3"/>
      <c r="C27" s="3"/>
      <c r="D27" s="3"/>
      <c r="E27" s="7"/>
    </row>
    <row r="28" customHeight="1" spans="1:5">
      <c r="A28" s="3" t="s">
        <v>323</v>
      </c>
      <c r="B28" s="3" t="s">
        <v>324</v>
      </c>
      <c r="C28" s="3"/>
      <c r="D28" s="5">
        <v>8</v>
      </c>
      <c r="E28" s="7"/>
    </row>
    <row r="29" customHeight="1" spans="1:5">
      <c r="A29" s="3" t="s">
        <v>325</v>
      </c>
      <c r="B29" s="3"/>
      <c r="C29" s="3"/>
      <c r="D29" s="5">
        <v>8</v>
      </c>
      <c r="E29" s="7"/>
    </row>
    <row r="30" customHeight="1" spans="1:5">
      <c r="A30" s="7"/>
      <c r="B30" s="7"/>
      <c r="C30" s="7"/>
      <c r="D30" s="7"/>
      <c r="E30" s="7"/>
    </row>
    <row r="31" customHeight="1" spans="1:5">
      <c r="A31" s="7"/>
      <c r="B31" s="7"/>
      <c r="C31" s="7"/>
      <c r="D31" s="7"/>
      <c r="E31" s="7"/>
    </row>
    <row r="32" customHeight="1" spans="1:5">
      <c r="A32" s="7"/>
      <c r="B32" s="7"/>
      <c r="C32" s="7"/>
      <c r="D32" s="7"/>
      <c r="E32" s="7"/>
    </row>
    <row r="33" customHeight="1" spans="1:5">
      <c r="A33" s="7"/>
      <c r="B33" s="7"/>
      <c r="C33" s="7"/>
      <c r="D33" s="7"/>
      <c r="E33" s="7"/>
    </row>
    <row r="34" customHeight="1" spans="1:5">
      <c r="A34" s="7"/>
      <c r="B34" s="7"/>
      <c r="C34" s="7"/>
      <c r="D34" s="7"/>
      <c r="E34" s="7"/>
    </row>
    <row r="35" customHeight="1" spans="1:5">
      <c r="A35" s="7"/>
      <c r="B35" s="7"/>
      <c r="C35" s="7"/>
      <c r="D35" s="7"/>
      <c r="E35" s="7"/>
    </row>
    <row r="36" customHeight="1" spans="1:5">
      <c r="A36" s="1" t="s">
        <v>326</v>
      </c>
      <c r="B36" s="3"/>
      <c r="C36" s="3"/>
      <c r="D36" s="3"/>
      <c r="E36" s="3"/>
    </row>
    <row r="37" customHeight="1" spans="1:5">
      <c r="A37" s="3"/>
      <c r="B37" s="3" t="s">
        <v>327</v>
      </c>
      <c r="C37" s="3"/>
      <c r="D37" s="4">
        <v>0.33</v>
      </c>
      <c r="E37" s="3"/>
    </row>
    <row r="38" customHeight="1" spans="1:5">
      <c r="A38" s="3"/>
      <c r="B38" s="3" t="s">
        <v>328</v>
      </c>
      <c r="C38" s="3"/>
      <c r="D38" s="5">
        <v>1.2</v>
      </c>
      <c r="E38" s="3"/>
    </row>
    <row r="39" customHeight="1" spans="1:5">
      <c r="A39" s="3"/>
      <c r="B39" s="3" t="s">
        <v>329</v>
      </c>
      <c r="C39" s="3"/>
      <c r="D39" s="8">
        <v>0.005</v>
      </c>
      <c r="E39" s="3" t="s">
        <v>330</v>
      </c>
    </row>
    <row r="40" customHeight="1" spans="1:5">
      <c r="A40" s="3"/>
      <c r="B40" s="3" t="s">
        <v>331</v>
      </c>
      <c r="C40" s="3"/>
      <c r="D40" s="4">
        <f>2500/50000</f>
        <v>0.05</v>
      </c>
      <c r="E40" s="3" t="s">
        <v>332</v>
      </c>
    </row>
    <row r="41" customHeight="1" spans="1:5">
      <c r="A41" s="3"/>
      <c r="B41" s="3" t="s">
        <v>333</v>
      </c>
      <c r="C41" s="3"/>
      <c r="D41" s="4">
        <v>0.01</v>
      </c>
      <c r="E41" s="3" t="s">
        <v>334</v>
      </c>
    </row>
    <row r="42" customHeight="1" spans="1:5">
      <c r="A42" s="3"/>
      <c r="B42" s="3" t="s">
        <v>335</v>
      </c>
      <c r="C42" s="3"/>
      <c r="D42" s="4">
        <v>8000</v>
      </c>
      <c r="E42" s="3" t="s">
        <v>336</v>
      </c>
    </row>
    <row r="43" customHeight="1" spans="1:5">
      <c r="A43" s="7"/>
      <c r="B43" s="7"/>
      <c r="C43" s="7"/>
      <c r="D43" s="7"/>
      <c r="E43" s="7"/>
    </row>
    <row r="44" customHeight="1" spans="1:5">
      <c r="A44" s="3" t="s">
        <v>337</v>
      </c>
      <c r="B44" s="7"/>
      <c r="C44" s="7"/>
      <c r="D44" s="7"/>
      <c r="E4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Cost Model</vt:lpstr>
      <vt:lpstr>Hardware BOM</vt:lpstr>
      <vt:lpstr>Software BOM</vt:lpstr>
      <vt:lpstr>Materials and Cost 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赵海超</cp:lastModifiedBy>
  <dcterms:created xsi:type="dcterms:W3CDTF">2025-10-29T03:21:00Z</dcterms:created>
  <dcterms:modified xsi:type="dcterms:W3CDTF">2025-11-06T11:06:39Z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0EBF1C32156F60608FC70C69BBD4D79C_43</vt:lpwstr>
  </property>
</Properties>
</file>